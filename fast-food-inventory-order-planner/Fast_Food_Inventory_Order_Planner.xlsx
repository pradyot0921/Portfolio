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updateLinks="always"/>
  <xr:revisionPtr revIDLastSave="0" documentId="13_ncr:1_{34913141-0DA6-490E-B121-8A411F178AB5}" xr6:coauthVersionLast="47" xr6:coauthVersionMax="47" xr10:uidLastSave="{00000000-0000-0000-0000-000000000000}"/>
  <bookViews>
    <workbookView xWindow="-108" yWindow="-108" windowWidth="23256" windowHeight="13896" xr2:uid="{9594C9E5-DA27-435E-9E62-CB0B9AD804E8}"/>
  </bookViews>
  <sheets>
    <sheet name="Instructions" sheetId="13" r:id="rId1"/>
    <sheet name="Order_Planner" sheetId="3" r:id="rId2"/>
    <sheet name="Data_Sales" sheetId="17" r:id="rId3"/>
    <sheet name="Setup" sheetId="1" r:id="rId4"/>
    <sheet name="Forecast_Model" sheetId="5" r:id="rId5"/>
    <sheet name="Usage_Rates" sheetId="2" r:id="rId6"/>
  </sheets>
  <definedNames>
    <definedName name="DeliveryDayList">DeliveryDays[Delivery_Day]</definedName>
    <definedName name="ProfileList">DemandProfile[Profile]</definedName>
    <definedName name="Weekday_List">WeekdayList[Weekday_List]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E33" i="2"/>
  <c r="F33" i="2"/>
  <c r="G33" i="2"/>
  <c r="H33" i="2"/>
  <c r="I33" i="2"/>
  <c r="J33" i="2"/>
  <c r="F3" i="5" l="1"/>
  <c r="E4" i="5" a="1"/>
  <c r="E4" i="5" s="1"/>
  <c r="E3" i="5" a="1"/>
  <c r="E3" i="5" s="1"/>
  <c r="E8" i="5" a="1"/>
  <c r="E8" i="5" s="1"/>
  <c r="E5" i="5" a="1"/>
  <c r="E5" i="5" s="1"/>
  <c r="E7" i="5" a="1"/>
  <c r="E7" i="5" s="1"/>
  <c r="E9" i="5" a="1"/>
  <c r="E9" i="5" s="1"/>
  <c r="E6" i="5" a="1"/>
  <c r="E6" i="5" s="1"/>
  <c r="F9" i="5"/>
  <c r="F8" i="5"/>
  <c r="F7" i="5"/>
  <c r="F6" i="5"/>
  <c r="F5" i="5"/>
  <c r="F4" i="5"/>
  <c r="M26" i="2"/>
  <c r="B4" i="5"/>
  <c r="J4" i="2"/>
  <c r="D4" i="2"/>
  <c r="L17" i="2"/>
  <c r="Q7" i="2" s="1"/>
  <c r="M17" i="2"/>
  <c r="K40" i="2"/>
  <c r="M40" i="2" s="1"/>
  <c r="J40" i="2"/>
  <c r="I40" i="2"/>
  <c r="H40" i="2"/>
  <c r="G40" i="2"/>
  <c r="F40" i="2"/>
  <c r="E40" i="2"/>
  <c r="D40" i="2"/>
  <c r="K39" i="2"/>
  <c r="M39" i="2" s="1"/>
  <c r="J39" i="2"/>
  <c r="I39" i="2"/>
  <c r="H39" i="2"/>
  <c r="G39" i="2"/>
  <c r="F39" i="2"/>
  <c r="E39" i="2"/>
  <c r="D39" i="2"/>
  <c r="L38" i="2"/>
  <c r="Q14" i="2" s="1"/>
  <c r="M38" i="2"/>
  <c r="K37" i="2"/>
  <c r="J37" i="2"/>
  <c r="I37" i="2"/>
  <c r="H37" i="2"/>
  <c r="G37" i="2"/>
  <c r="F37" i="2"/>
  <c r="E37" i="2"/>
  <c r="D37" i="2"/>
  <c r="K36" i="2"/>
  <c r="M36" i="2" s="1"/>
  <c r="J36" i="2"/>
  <c r="I36" i="2"/>
  <c r="H36" i="2"/>
  <c r="G36" i="2"/>
  <c r="F36" i="2"/>
  <c r="E36" i="2"/>
  <c r="D36" i="2"/>
  <c r="M37" i="2"/>
  <c r="L35" i="2"/>
  <c r="Q13" i="2" s="1"/>
  <c r="M35" i="2"/>
  <c r="N35" i="2" s="1"/>
  <c r="K34" i="2"/>
  <c r="M34" i="2" s="1"/>
  <c r="J34" i="2"/>
  <c r="I34" i="2"/>
  <c r="H34" i="2"/>
  <c r="G34" i="2"/>
  <c r="F34" i="2"/>
  <c r="E34" i="2"/>
  <c r="D34" i="2"/>
  <c r="K33" i="2"/>
  <c r="M33" i="2" s="1"/>
  <c r="L32" i="2"/>
  <c r="Q12" i="2" s="1"/>
  <c r="M32" i="2"/>
  <c r="N32" i="2" s="1"/>
  <c r="K31" i="2"/>
  <c r="J31" i="2"/>
  <c r="I31" i="2"/>
  <c r="H31" i="2"/>
  <c r="G31" i="2"/>
  <c r="F31" i="2"/>
  <c r="E31" i="2"/>
  <c r="D31" i="2"/>
  <c r="K30" i="2"/>
  <c r="M30" i="2" s="1"/>
  <c r="J30" i="2"/>
  <c r="I30" i="2"/>
  <c r="H30" i="2"/>
  <c r="G30" i="2"/>
  <c r="F30" i="2"/>
  <c r="E30" i="2"/>
  <c r="D30" i="2"/>
  <c r="M31" i="2"/>
  <c r="L29" i="2"/>
  <c r="Q11" i="2" s="1"/>
  <c r="M29" i="2"/>
  <c r="K28" i="2"/>
  <c r="M28" i="2" s="1"/>
  <c r="J28" i="2"/>
  <c r="I28" i="2"/>
  <c r="H28" i="2"/>
  <c r="G28" i="2"/>
  <c r="F28" i="2"/>
  <c r="E28" i="2"/>
  <c r="D28" i="2"/>
  <c r="K27" i="2"/>
  <c r="M27" i="2" s="1"/>
  <c r="J27" i="2"/>
  <c r="I27" i="2"/>
  <c r="H27" i="2"/>
  <c r="G27" i="2"/>
  <c r="F27" i="2"/>
  <c r="E27" i="2"/>
  <c r="D27" i="2"/>
  <c r="L26" i="2"/>
  <c r="Q10" i="2" s="1"/>
  <c r="K25" i="2"/>
  <c r="J25" i="2"/>
  <c r="I25" i="2"/>
  <c r="H25" i="2"/>
  <c r="G25" i="2"/>
  <c r="F25" i="2"/>
  <c r="E25" i="2"/>
  <c r="D25" i="2"/>
  <c r="K24" i="2"/>
  <c r="M24" i="2" s="1"/>
  <c r="J24" i="2"/>
  <c r="I24" i="2"/>
  <c r="H24" i="2"/>
  <c r="G24" i="2"/>
  <c r="F24" i="2"/>
  <c r="E24" i="2"/>
  <c r="D24" i="2"/>
  <c r="M25" i="2"/>
  <c r="L23" i="2"/>
  <c r="Q9" i="2" s="1"/>
  <c r="M23" i="2"/>
  <c r="K22" i="2"/>
  <c r="J22" i="2"/>
  <c r="I22" i="2"/>
  <c r="H22" i="2"/>
  <c r="G22" i="2"/>
  <c r="F22" i="2"/>
  <c r="E22" i="2"/>
  <c r="D22" i="2"/>
  <c r="K21" i="2"/>
  <c r="M21" i="2" s="1"/>
  <c r="J21" i="2"/>
  <c r="I21" i="2"/>
  <c r="H21" i="2"/>
  <c r="G21" i="2"/>
  <c r="F21" i="2"/>
  <c r="E21" i="2"/>
  <c r="D21" i="2"/>
  <c r="M22" i="2"/>
  <c r="L20" i="2"/>
  <c r="Q8" i="2" s="1"/>
  <c r="M20" i="2"/>
  <c r="K19" i="2"/>
  <c r="M19" i="2" s="1"/>
  <c r="J19" i="2"/>
  <c r="I19" i="2"/>
  <c r="H19" i="2"/>
  <c r="G19" i="2"/>
  <c r="F19" i="2"/>
  <c r="E19" i="2"/>
  <c r="D19" i="2"/>
  <c r="K18" i="2"/>
  <c r="M18" i="2" s="1"/>
  <c r="J18" i="2"/>
  <c r="I18" i="2"/>
  <c r="H18" i="2"/>
  <c r="G18" i="2"/>
  <c r="F18" i="2"/>
  <c r="E18" i="2"/>
  <c r="D18" i="2"/>
  <c r="H3" i="2"/>
  <c r="K16" i="2"/>
  <c r="J16" i="2"/>
  <c r="I16" i="2"/>
  <c r="H16" i="2"/>
  <c r="G16" i="2"/>
  <c r="F16" i="2"/>
  <c r="E16" i="2"/>
  <c r="D16" i="2"/>
  <c r="K15" i="2"/>
  <c r="M15" i="2" s="1"/>
  <c r="J15" i="2"/>
  <c r="I15" i="2"/>
  <c r="H15" i="2"/>
  <c r="G15" i="2"/>
  <c r="F15" i="2"/>
  <c r="E15" i="2"/>
  <c r="D15" i="2"/>
  <c r="M16" i="2"/>
  <c r="L14" i="2"/>
  <c r="Q6" i="2" s="1"/>
  <c r="M14" i="2"/>
  <c r="M2" i="2"/>
  <c r="M5" i="2"/>
  <c r="M8" i="2"/>
  <c r="M11" i="2"/>
  <c r="L2" i="2"/>
  <c r="Q2" i="2" s="1"/>
  <c r="L5" i="2"/>
  <c r="L8" i="2"/>
  <c r="L11" i="2"/>
  <c r="Q5" i="2" s="1"/>
  <c r="K13" i="2"/>
  <c r="M13" i="2" s="1"/>
  <c r="K12" i="2"/>
  <c r="M12" i="2" s="1"/>
  <c r="K10" i="2"/>
  <c r="M10" i="2" s="1"/>
  <c r="K9" i="2"/>
  <c r="M9" i="2" s="1"/>
  <c r="K7" i="2"/>
  <c r="M7" i="2" s="1"/>
  <c r="K6" i="2"/>
  <c r="M6" i="2" s="1"/>
  <c r="K4" i="2"/>
  <c r="M4" i="2" s="1"/>
  <c r="K3" i="2"/>
  <c r="M3" i="2" s="1"/>
  <c r="D13" i="2"/>
  <c r="J13" i="2"/>
  <c r="I13" i="2"/>
  <c r="H13" i="2"/>
  <c r="G13" i="2"/>
  <c r="F13" i="2"/>
  <c r="E13" i="2"/>
  <c r="J12" i="2"/>
  <c r="I12" i="2"/>
  <c r="H12" i="2"/>
  <c r="G12" i="2"/>
  <c r="F12" i="2"/>
  <c r="E12" i="2"/>
  <c r="D12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7" i="2"/>
  <c r="I7" i="2"/>
  <c r="H7" i="2"/>
  <c r="G7" i="2"/>
  <c r="F7" i="2"/>
  <c r="E7" i="2"/>
  <c r="D7" i="2"/>
  <c r="J6" i="2"/>
  <c r="I6" i="2"/>
  <c r="H6" i="2"/>
  <c r="G6" i="2"/>
  <c r="F6" i="2"/>
  <c r="E6" i="2"/>
  <c r="D6" i="2"/>
  <c r="I4" i="2"/>
  <c r="H4" i="2"/>
  <c r="G4" i="2"/>
  <c r="F4" i="2"/>
  <c r="E4" i="2"/>
  <c r="J3" i="2"/>
  <c r="G3" i="2"/>
  <c r="I3" i="2"/>
  <c r="F3" i="2"/>
  <c r="E3" i="2"/>
  <c r="D3" i="2"/>
  <c r="L36" i="2" l="1"/>
  <c r="R13" i="2" s="1"/>
  <c r="L31" i="2"/>
  <c r="S11" i="2" s="1"/>
  <c r="L39" i="2"/>
  <c r="N39" i="2" s="1"/>
  <c r="L21" i="2"/>
  <c r="R8" i="2" s="1"/>
  <c r="L34" i="2"/>
  <c r="S12" i="2" s="1"/>
  <c r="L37" i="2"/>
  <c r="S13" i="2" s="1"/>
  <c r="L25" i="2"/>
  <c r="S9" i="2" s="1"/>
  <c r="L4" i="2"/>
  <c r="L24" i="2"/>
  <c r="R9" i="2" s="1"/>
  <c r="L10" i="2"/>
  <c r="S4" i="2" s="1"/>
  <c r="L16" i="2"/>
  <c r="S6" i="2" s="1"/>
  <c r="L27" i="2"/>
  <c r="R10" i="2" s="1"/>
  <c r="L7" i="2"/>
  <c r="S3" i="2" s="1"/>
  <c r="L30" i="2"/>
  <c r="R11" i="2" s="1"/>
  <c r="L40" i="2"/>
  <c r="N40" i="2" s="1"/>
  <c r="L12" i="2"/>
  <c r="R5" i="2" s="1"/>
  <c r="L33" i="2"/>
  <c r="R12" i="2" s="1"/>
  <c r="L15" i="2"/>
  <c r="R6" i="2" s="1"/>
  <c r="L22" i="2"/>
  <c r="S8" i="2" s="1"/>
  <c r="L9" i="2"/>
  <c r="R4" i="2" s="1"/>
  <c r="L18" i="2"/>
  <c r="R7" i="2" s="1"/>
  <c r="L28" i="2"/>
  <c r="S10" i="2" s="1"/>
  <c r="G4" i="5"/>
  <c r="G7" i="5"/>
  <c r="L6" i="2"/>
  <c r="R3" i="2" s="1"/>
  <c r="L13" i="2"/>
  <c r="S5" i="2" s="1"/>
  <c r="N17" i="2"/>
  <c r="L19" i="2"/>
  <c r="N37" i="2"/>
  <c r="N38" i="2"/>
  <c r="N29" i="2"/>
  <c r="N26" i="2"/>
  <c r="N23" i="2"/>
  <c r="N20" i="2"/>
  <c r="N8" i="2"/>
  <c r="N5" i="2"/>
  <c r="N11" i="2"/>
  <c r="Q4" i="2"/>
  <c r="N14" i="2"/>
  <c r="Q3" i="2"/>
  <c r="N2" i="2"/>
  <c r="S2" i="2"/>
  <c r="N4" i="2"/>
  <c r="L3" i="2"/>
  <c r="N36" i="2" l="1"/>
  <c r="N31" i="2"/>
  <c r="N34" i="2"/>
  <c r="R14" i="2"/>
  <c r="N21" i="2"/>
  <c r="N9" i="2"/>
  <c r="N7" i="2"/>
  <c r="N12" i="2"/>
  <c r="N10" i="2"/>
  <c r="N6" i="2"/>
  <c r="N16" i="2"/>
  <c r="N24" i="2"/>
  <c r="N30" i="2"/>
  <c r="N33" i="2"/>
  <c r="S14" i="2"/>
  <c r="N27" i="2"/>
  <c r="N25" i="2"/>
  <c r="N22" i="2"/>
  <c r="N15" i="2"/>
  <c r="N28" i="2"/>
  <c r="N18" i="2"/>
  <c r="N13" i="2"/>
  <c r="N19" i="2"/>
  <c r="S7" i="2"/>
  <c r="G9" i="5"/>
  <c r="B5" i="5"/>
  <c r="G8" i="5"/>
  <c r="E11" i="5"/>
  <c r="G5" i="5"/>
  <c r="G6" i="5"/>
  <c r="N3" i="2"/>
  <c r="R2" i="2"/>
  <c r="G3" i="5" l="1"/>
  <c r="B7" i="5"/>
  <c r="B8" i="5" s="1"/>
  <c r="E12" i="5"/>
  <c r="E13" i="5" s="1"/>
  <c r="E14" i="5" s="1" a="1"/>
  <c r="E14" i="5" s="1"/>
  <c r="B5" i="3" l="1"/>
  <c r="E15" i="5"/>
  <c r="E16" i="5" s="1" a="1"/>
  <c r="E16" i="5" s="1"/>
  <c r="G14" i="3" l="1" a="1"/>
  <c r="G14" i="3" s="1"/>
  <c r="G17" i="3" a="1"/>
  <c r="G17" i="3" s="1"/>
  <c r="G18" i="3" a="1"/>
  <c r="G18" i="3" s="1"/>
  <c r="G19" i="3" a="1"/>
  <c r="G19" i="3" s="1"/>
  <c r="G21" i="3" a="1"/>
  <c r="G21" i="3" s="1"/>
  <c r="G12" i="3" a="1"/>
  <c r="G12" i="3" s="1"/>
  <c r="G16" i="3" a="1"/>
  <c r="G16" i="3" s="1"/>
  <c r="G15" i="3" a="1"/>
  <c r="G15" i="3" s="1"/>
  <c r="G20" i="3" a="1"/>
  <c r="G20" i="3" s="1"/>
  <c r="G10" i="3" a="1"/>
  <c r="G10" i="3" s="1"/>
  <c r="G9" i="3" a="1"/>
  <c r="G9" i="3" s="1"/>
  <c r="G11" i="3" a="1"/>
  <c r="G11" i="3" s="1"/>
  <c r="G13" i="3" a="1"/>
  <c r="G13" i="3" s="1"/>
  <c r="H5" i="5"/>
  <c r="H9" i="5"/>
  <c r="H8" i="5"/>
  <c r="H6" i="5"/>
  <c r="H7" i="5"/>
  <c r="H4" i="5"/>
  <c r="H3" i="5"/>
  <c r="J11" i="3" l="1" a="1"/>
  <c r="J11" i="3" s="1"/>
  <c r="K13" i="3" a="1"/>
  <c r="K13" i="3" s="1"/>
  <c r="L13" i="3" s="1"/>
  <c r="J10" i="3" a="1"/>
  <c r="J10" i="3" s="1"/>
  <c r="F19" i="3" a="1"/>
  <c r="F19" i="3" s="1"/>
  <c r="F11" i="3" a="1"/>
  <c r="F11" i="3" s="1"/>
  <c r="J16" i="3" a="1"/>
  <c r="J16" i="3" s="1"/>
  <c r="F9" i="3" a="1"/>
  <c r="F9" i="3" s="1"/>
  <c r="F18" i="3" a="1"/>
  <c r="F18" i="3" s="1"/>
  <c r="F10" i="3" a="1"/>
  <c r="F10" i="3" s="1"/>
  <c r="K9" i="3" a="1"/>
  <c r="K9" i="3" s="1"/>
  <c r="L9" i="3" s="1"/>
  <c r="K18" i="3" a="1"/>
  <c r="K18" i="3" s="1"/>
  <c r="J9" i="3" a="1"/>
  <c r="J9" i="3" s="1"/>
  <c r="K17" i="3" a="1"/>
  <c r="K17" i="3" s="1"/>
  <c r="K21" i="3" a="1"/>
  <c r="K21" i="3" s="1"/>
  <c r="L21" i="3" s="1"/>
  <c r="F15" i="3" a="1"/>
  <c r="F15" i="3" s="1"/>
  <c r="F16" i="3" a="1"/>
  <c r="F16" i="3" s="1"/>
  <c r="K15" i="3" a="1"/>
  <c r="K15" i="3" s="1"/>
  <c r="L15" i="3" s="1"/>
  <c r="K20" i="3" a="1"/>
  <c r="K20" i="3" s="1"/>
  <c r="J13" i="3" a="1"/>
  <c r="J13" i="3" s="1"/>
  <c r="J12" i="3" a="1"/>
  <c r="J12" i="3" s="1"/>
  <c r="J18" i="3" a="1"/>
  <c r="J18" i="3" s="1"/>
  <c r="F14" i="3" a="1"/>
  <c r="F14" i="3" s="1"/>
  <c r="F12" i="3" a="1"/>
  <c r="F12" i="3" s="1"/>
  <c r="F17" i="3" a="1"/>
  <c r="F17" i="3" s="1"/>
  <c r="F20" i="3" a="1"/>
  <c r="F20" i="3" s="1"/>
  <c r="F13" i="3" a="1"/>
  <c r="F13" i="3" s="1"/>
  <c r="J20" i="3" a="1"/>
  <c r="J20" i="3" s="1"/>
  <c r="J15" i="3" a="1"/>
  <c r="J15" i="3" s="1"/>
  <c r="F21" i="3" a="1"/>
  <c r="F21" i="3" s="1"/>
  <c r="K16" i="3" a="1"/>
  <c r="K16" i="3" s="1"/>
  <c r="K12" i="3" a="1"/>
  <c r="K12" i="3" s="1"/>
  <c r="L12" i="3" s="1"/>
  <c r="J21" i="3" a="1"/>
  <c r="J21" i="3" s="1"/>
  <c r="J19" i="3" a="1"/>
  <c r="J19" i="3" s="1"/>
  <c r="K14" i="3" a="1"/>
  <c r="K14" i="3" s="1"/>
  <c r="L14" i="3" s="1"/>
  <c r="K11" i="3" a="1"/>
  <c r="K11" i="3" s="1"/>
  <c r="L11" i="3" s="1"/>
  <c r="K19" i="3" a="1"/>
  <c r="K19" i="3" s="1"/>
  <c r="K10" i="3" a="1"/>
  <c r="K10" i="3" s="1"/>
  <c r="L10" i="3" s="1"/>
  <c r="J14" i="3" a="1"/>
  <c r="J14" i="3" s="1"/>
  <c r="J17" i="3" a="1"/>
  <c r="J17" i="3" s="1"/>
  <c r="H19" i="3" l="1"/>
  <c r="I19" i="3" s="1" a="1"/>
  <c r="I19" i="3" s="1"/>
  <c r="L19" i="3"/>
  <c r="L16" i="3"/>
  <c r="L17" i="3"/>
  <c r="L18" i="3"/>
  <c r="L20" i="3"/>
  <c r="H13" i="3"/>
  <c r="H21" i="3"/>
  <c r="I21" i="3" s="1" a="1"/>
  <c r="I21" i="3" s="1"/>
  <c r="H18" i="3"/>
  <c r="I18" i="3" s="1" a="1"/>
  <c r="I18" i="3" s="1"/>
  <c r="H10" i="3"/>
  <c r="I10" i="3" s="1" a="1"/>
  <c r="I10" i="3" s="1"/>
  <c r="H11" i="3"/>
  <c r="I11" i="3" s="1" a="1"/>
  <c r="I11" i="3" s="1"/>
  <c r="H9" i="3"/>
  <c r="I9" i="3" s="1" a="1"/>
  <c r="I9" i="3" s="1"/>
  <c r="H15" i="3"/>
  <c r="I15" i="3" s="1" a="1"/>
  <c r="I15" i="3" s="1"/>
  <c r="H14" i="3"/>
  <c r="I14" i="3" s="1" a="1"/>
  <c r="I14" i="3" s="1"/>
  <c r="H16" i="3"/>
  <c r="I16" i="3" s="1" a="1"/>
  <c r="I16" i="3" s="1"/>
  <c r="H17" i="3"/>
  <c r="I17" i="3" s="1" a="1"/>
  <c r="I17" i="3" s="1"/>
  <c r="H12" i="3"/>
  <c r="I12" i="3" s="1" a="1"/>
  <c r="I12" i="3" s="1"/>
  <c r="H20" i="3"/>
  <c r="I20" i="3" s="1" a="1"/>
  <c r="I20" i="3" s="1"/>
  <c r="D19" i="3" l="1"/>
  <c r="E19" i="3" s="1"/>
  <c r="D18" i="3"/>
  <c r="E18" i="3" s="1"/>
  <c r="D13" i="3"/>
  <c r="E13" i="3" s="1"/>
  <c r="I13" i="3" a="1"/>
  <c r="I13" i="3" s="1"/>
  <c r="D9" i="3"/>
  <c r="E9" i="3" s="1"/>
  <c r="D11" i="3"/>
  <c r="E11" i="3" s="1"/>
  <c r="D21" i="3"/>
  <c r="E21" i="3" s="1"/>
  <c r="D15" i="3"/>
  <c r="E15" i="3" s="1"/>
  <c r="D10" i="3"/>
  <c r="E10" i="3" s="1"/>
  <c r="D16" i="3"/>
  <c r="E16" i="3" s="1"/>
  <c r="D17" i="3"/>
  <c r="E17" i="3" s="1"/>
  <c r="D14" i="3"/>
  <c r="E14" i="3" s="1"/>
  <c r="D12" i="3"/>
  <c r="E12" i="3" s="1"/>
  <c r="D20" i="3"/>
  <c r="E2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<sst xmlns="http://schemas.openxmlformats.org/spreadsheetml/2006/main" count="794" uniqueCount="111">
  <si>
    <t>Stocktake Day</t>
  </si>
  <si>
    <t>Sunday</t>
  </si>
  <si>
    <t>Next Delivery Day</t>
  </si>
  <si>
    <t>Monday</t>
  </si>
  <si>
    <t>Include delivery day in pre-demand?</t>
  </si>
  <si>
    <t>Demand Profile</t>
  </si>
  <si>
    <t>Item</t>
  </si>
  <si>
    <t>Current Stock</t>
  </si>
  <si>
    <t>Incoming Ordered</t>
  </si>
  <si>
    <t>Order Qty</t>
  </si>
  <si>
    <t>Status</t>
  </si>
  <si>
    <t>Coverage Demand</t>
  </si>
  <si>
    <t>Adjusted Buffer</t>
  </si>
  <si>
    <t>Total Required</t>
  </si>
  <si>
    <t>Revenue at Risk</t>
  </si>
  <si>
    <t>Pre-Delivery Demand</t>
  </si>
  <si>
    <t>Projected Stock Delivery</t>
  </si>
  <si>
    <t>Date</t>
  </si>
  <si>
    <t>Weekday</t>
  </si>
  <si>
    <t>Sales</t>
  </si>
  <si>
    <t>YearWeek</t>
  </si>
  <si>
    <t>Week_Type</t>
  </si>
  <si>
    <t>2025-40</t>
  </si>
  <si>
    <t>Normal Trading</t>
  </si>
  <si>
    <t>Tuesday</t>
  </si>
  <si>
    <t>Wednesday</t>
  </si>
  <si>
    <t>Thursday</t>
  </si>
  <si>
    <t>Friday</t>
  </si>
  <si>
    <t>Saturday</t>
  </si>
  <si>
    <t>2025-41</t>
  </si>
  <si>
    <t>2025-42</t>
  </si>
  <si>
    <t>2025-43</t>
  </si>
  <si>
    <t>2025-44</t>
  </si>
  <si>
    <t>2025-46</t>
  </si>
  <si>
    <t>Closure Week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</si>
  <si>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</si>
  <si>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</si>
  <si>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</si>
  <si>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</si>
  <si>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</si>
  <si>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</si>
  <si>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</si>
  <si>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</si>
  <si>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</si>
  <si>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</si>
  <si>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</si>
  <si>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</si>
  <si>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</si>
  <si>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</si>
  <si>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</si>
  <si>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</si>
  <si>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</si>
  <si>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</si>
  <si>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</si>
  <si>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</si>
  <si>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</si>
  <si>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</si>
  <si>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Profile</t>
  </si>
  <si>
    <t>Sales_per_unit</t>
  </si>
  <si>
    <t>Mon</t>
  </si>
  <si>
    <t>Tue</t>
  </si>
  <si>
    <t>Wed</t>
  </si>
  <si>
    <t>Thu</t>
  </si>
  <si>
    <t>Fri</t>
  </si>
  <si>
    <t>Sat</t>
  </si>
  <si>
    <t>Sun</t>
  </si>
  <si>
    <t>Buffer</t>
  </si>
  <si>
    <t>Weekly_Usage</t>
  </si>
  <si>
    <t>Adjusted_Buffer</t>
  </si>
  <si>
    <t>Total_Weekly_Need</t>
  </si>
  <si>
    <t>Avg Weekly Usage (Low)</t>
  </si>
  <si>
    <t>Avg Weekly Usage (Normal)</t>
  </si>
  <si>
    <t>Avg Weekly Usage (High)</t>
  </si>
  <si>
    <t>Low</t>
  </si>
  <si>
    <t>Normal</t>
  </si>
  <si>
    <t>High</t>
  </si>
  <si>
    <t>Delivery_Day</t>
  </si>
  <si>
    <t>Delivery_Coverage_Flags</t>
  </si>
  <si>
    <t>Weekday_List</t>
  </si>
  <si>
    <t>Multiplier</t>
  </si>
  <si>
    <t>Min</t>
  </si>
  <si>
    <t>Weekly Forecast Input</t>
  </si>
  <si>
    <t>Forecast_Sales</t>
  </si>
  <si>
    <t>Baseline_Sales</t>
  </si>
  <si>
    <t>Raw_Multiplier</t>
  </si>
  <si>
    <t>Effective_Multiplier</t>
  </si>
  <si>
    <t>Week Start Date (Mon)</t>
  </si>
  <si>
    <t>Week End Date (Sun)</t>
  </si>
  <si>
    <t>Forecast Total Sales</t>
  </si>
  <si>
    <t>Check</t>
  </si>
  <si>
    <t>Difference vs Total</t>
  </si>
  <si>
    <t>Weekly Baseline</t>
  </si>
  <si>
    <t>Weekly Forecast</t>
  </si>
  <si>
    <t>Weekly Multiplier</t>
  </si>
  <si>
    <t>Selected Profile</t>
  </si>
  <si>
    <t>Profile Multiplier</t>
  </si>
  <si>
    <t>2026-17</t>
  </si>
  <si>
    <t>Sauce A</t>
  </si>
  <si>
    <t>Frozen Item A</t>
  </si>
  <si>
    <t>Bread Item A</t>
  </si>
  <si>
    <t>Mix Item A</t>
  </si>
  <si>
    <t>Packaging Item A</t>
  </si>
  <si>
    <t>Ingredient A</t>
  </si>
  <si>
    <t>Ingredient B</t>
  </si>
  <si>
    <t>Dairy Item A</t>
  </si>
  <si>
    <t>Gloves XL</t>
  </si>
  <si>
    <t>Gloves L</t>
  </si>
  <si>
    <t>Gloves M</t>
  </si>
  <si>
    <t>Protein Item A</t>
  </si>
  <si>
    <t>Frozen Item B</t>
  </si>
  <si>
    <t>Stock Runway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</si>
</sst>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;@"/>
    <numFmt numFmtId="166" formatCode="[$$-C09]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1"/>
      <color theme="0"/>
      <name val="Aptos"/>
      <family val="2"/>
    </font>
    <font>
      <b/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CC4"/>
        <bgColor indexed="64"/>
      </patternFill>
    </fill>
    <fill>
      <patternFill patternType="solid">
        <fgColor rgb="FFF86308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</cellXfs>
  <cellStyles count="1"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0.000"/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0.000"/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2" formatCode="0.00"/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166" formatCode="[$$-C09]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rgb="FFF6FA8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fill>
        <patternFill patternType="solid">
          <fgColor indexed="64"/>
          <bgColor rgb="FFFBFC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86308"/>
      <color rgb="FFFBA671"/>
      <color rgb="FFFFE697"/>
      <color rgb="FFFBFCC4"/>
      <color rgb="FFF6FA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38100</xdr:colOff>
      <xdr:row>102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C15D8B-C245-B1E0-EF27-293B40AF9616}"/>
            </a:ext>
          </a:extLst>
        </xdr:cNvPr>
        <xdr:cNvSpPr txBox="1"/>
      </xdr:nvSpPr>
      <xdr:spPr>
        <a:xfrm>
          <a:off x="0" y="0"/>
          <a:ext cx="11801475" cy="18359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IN" sz="2500" b="1"/>
            <a:t>Fast Food Inventory Order Planner – Instructions</a:t>
          </a:r>
          <a:br>
            <a:rPr lang="en-IN" sz="1600"/>
          </a:br>
          <a:br>
            <a:rPr lang="en-IN" sz="1600"/>
          </a:br>
          <a:r>
            <a:rPr lang="en-IN" sz="1600"/>
            <a:t>This is a portfolio version using anonymised items and synthetic sales data. It does not contain confidential business data.</a:t>
          </a:r>
          <a:br>
            <a:rPr lang="en-IN" sz="1600"/>
          </a:br>
          <a:br>
            <a:rPr lang="en-IN" sz="1600"/>
          </a:br>
          <a:r>
            <a:rPr lang="en-IN" sz="1600" b="1"/>
            <a:t>Purpose</a:t>
          </a:r>
          <a:br>
            <a:rPr lang="en-IN" sz="1600"/>
          </a:br>
          <a:br>
            <a:rPr lang="en-IN" sz="1600"/>
          </a:br>
          <a:r>
            <a:rPr lang="en-IN" sz="1600"/>
            <a:t>This workbook calculates recommended order quantities for each inventory item based on current stock, incoming stock, delivery schedule, and expected demand. It helps reduce stock shortages and avoid unnecessary over-ordering.</a:t>
          </a:r>
          <a:br>
            <a:rPr lang="en-IN" sz="1600"/>
          </a:br>
          <a:br>
            <a:rPr lang="en-IN" sz="1600"/>
          </a:br>
          <a:r>
            <a:rPr lang="en-IN" sz="1600" b="1"/>
            <a:t>Step 1: Review Planning Inputs</a:t>
          </a:r>
          <a:br>
            <a:rPr lang="en-IN" sz="1600"/>
          </a:br>
          <a:br>
            <a:rPr lang="en-IN" sz="1600"/>
          </a:br>
          <a:r>
            <a:rPr lang="en-IN" sz="1600"/>
            <a:t>On the Order_Planner sheet, review or update the following inputs:</a:t>
          </a:r>
          <a:br>
            <a:rPr lang="en-IN" sz="1600"/>
          </a:br>
          <a:br>
            <a:rPr lang="en-IN" sz="1600"/>
          </a:br>
          <a:r>
            <a:rPr lang="en-IN" sz="1600"/>
            <a:t>• Stocktake Day – the day stock is counted</a:t>
          </a:r>
          <a:br>
            <a:rPr lang="en-IN" sz="1600"/>
          </a:br>
          <a:r>
            <a:rPr lang="en-IN" sz="1600"/>
            <a:t>• Delivery Day – the day the next delivery arrives</a:t>
          </a:r>
          <a:br>
            <a:rPr lang="en-IN" sz="1600"/>
          </a:br>
          <a:r>
            <a:rPr lang="en-IN" sz="1600"/>
            <a:t>• Include Delivery Day in Pre-Demand – select TRUE if delivery arrives after opening or if delivery time is uncertain</a:t>
          </a:r>
          <a:br>
            <a:rPr lang="en-IN" sz="1600"/>
          </a:br>
          <a:r>
            <a:rPr lang="en-IN" sz="1600"/>
            <a:t>• Demand Profile – automatically selected based on forecasted demand</a:t>
          </a:r>
          <a:br>
            <a:rPr lang="en-IN" sz="1600"/>
          </a:br>
          <a:br>
            <a:rPr lang="en-IN" sz="1600"/>
          </a:br>
          <a:r>
            <a:rPr lang="en-IN" sz="1600"/>
            <a:t>Recommended setting:</a:t>
          </a:r>
          <a:br>
            <a:rPr lang="en-IN" sz="1600"/>
          </a:br>
          <a:r>
            <a:rPr lang="en-IN" sz="1600"/>
            <a:t>Keep “Include Delivery Day in Pre-Demand” as TRUE unless delivery is guaranteed to arrive before opening.</a:t>
          </a:r>
          <a:br>
            <a:rPr lang="en-IN" sz="1600"/>
          </a:br>
          <a:br>
            <a:rPr lang="en-IN" sz="1600"/>
          </a:br>
          <a:r>
            <a:rPr lang="en-IN" sz="1600" b="1"/>
            <a:t>Step 2: Enter Stock Information</a:t>
          </a:r>
          <a:br>
            <a:rPr lang="en-IN" sz="1600"/>
          </a:br>
          <a:br>
            <a:rPr lang="en-IN" sz="1600"/>
          </a:br>
          <a:r>
            <a:rPr lang="en-IN" sz="1600"/>
            <a:t>Enter the following values for each item:</a:t>
          </a:r>
          <a:br>
            <a:rPr lang="en-IN" sz="1600"/>
          </a:br>
          <a:br>
            <a:rPr lang="en-IN" sz="1600"/>
          </a:br>
          <a:r>
            <a:rPr lang="en-IN" sz="1600"/>
            <a:t>• Current Stock – physical stock counted during stocktake</a:t>
          </a:r>
          <a:br>
            <a:rPr lang="en-IN" sz="1600"/>
          </a:br>
          <a:r>
            <a:rPr lang="en-IN" sz="1600"/>
            <a:t>• Incoming Ordered – stock already ordered but not yet received. Enter 0 if there is no incoming stock.</a:t>
          </a:r>
          <a:br>
            <a:rPr lang="en-IN" sz="1600"/>
          </a:br>
          <a:br>
            <a:rPr lang="en-IN" sz="1600"/>
          </a:br>
          <a:r>
            <a:rPr lang="en-IN" sz="1600" b="1"/>
            <a:t>Step 3: Check Order Recommendation</a:t>
          </a:r>
          <a:br>
            <a:rPr lang="en-IN" sz="1600"/>
          </a:br>
          <a:br>
            <a:rPr lang="en-IN" sz="1600"/>
          </a:br>
          <a:r>
            <a:rPr lang="en-IN" sz="1600"/>
            <a:t>The workbook automatically calculates:</a:t>
          </a:r>
          <a:br>
            <a:rPr lang="en-IN" sz="1600"/>
          </a:br>
          <a:br>
            <a:rPr lang="en-IN" sz="1600"/>
          </a:br>
          <a:r>
            <a:rPr lang="en-IN" sz="1600"/>
            <a:t>• Pre-Delivery Demand</a:t>
          </a:r>
          <a:br>
            <a:rPr lang="en-IN" sz="1600"/>
          </a:br>
          <a:r>
            <a:rPr lang="en-IN" sz="1600"/>
            <a:t>• Coverage Demand</a:t>
          </a:r>
          <a:br>
            <a:rPr lang="en-IN" sz="1600"/>
          </a:br>
          <a:r>
            <a:rPr lang="en-IN" sz="1600"/>
            <a:t>• Adjusted Buffer</a:t>
          </a:r>
          <a:br>
            <a:rPr lang="en-IN" sz="1600"/>
          </a:br>
          <a:r>
            <a:rPr lang="en-IN" sz="1600"/>
            <a:t>• Total Required</a:t>
          </a:r>
          <a:br>
            <a:rPr lang="en-IN" sz="1600"/>
          </a:br>
          <a:r>
            <a:rPr lang="en-IN" sz="1600"/>
            <a:t>• Order Qty</a:t>
          </a:r>
          <a:br>
            <a:rPr lang="en-IN" sz="1600"/>
          </a:br>
          <a:r>
            <a:rPr lang="en-IN" sz="1600"/>
            <a:t>• Status</a:t>
          </a:r>
          <a:br>
            <a:rPr lang="en-IN" sz="1600"/>
          </a:br>
          <a:br>
            <a:rPr lang="en-IN" sz="1600"/>
          </a:br>
          <a:r>
            <a:rPr lang="en-IN" sz="1600"/>
            <a:t>The Order Qty column shows the recommended quantity to order.</a:t>
          </a:r>
          <a:br>
            <a:rPr lang="en-IN" sz="1600"/>
          </a:br>
          <a:br>
            <a:rPr lang="en-IN" sz="1600"/>
          </a:br>
          <a:r>
            <a:rPr lang="en-IN" sz="1600" b="1"/>
            <a:t>Status meaning:</a:t>
          </a:r>
          <a:br>
            <a:rPr lang="en-IN" sz="1600" b="1"/>
          </a:br>
          <a:br>
            <a:rPr lang="en-IN" sz="1600"/>
          </a:br>
          <a:r>
            <a:rPr lang="en-IN" sz="1600"/>
            <a:t>• URGENT – stock may run out before or around delivery</a:t>
          </a:r>
          <a:br>
            <a:rPr lang="en-IN" sz="1600"/>
          </a:br>
          <a:r>
            <a:rPr lang="en-IN" sz="1600"/>
            <a:t>• ORDER – additional stock is recommended</a:t>
          </a:r>
          <a:br>
            <a:rPr lang="en-IN" sz="1600"/>
          </a:br>
          <a:r>
            <a:rPr lang="en-IN" sz="1600"/>
            <a:t>• OK – current and incoming stock are sufficient</a:t>
          </a:r>
          <a:br>
            <a:rPr lang="en-IN" sz="1600"/>
          </a:br>
          <a:br>
            <a:rPr lang="en-IN" sz="1600"/>
          </a:br>
          <a:r>
            <a:rPr lang="en-IN" sz="1600" b="1"/>
            <a:t>Do not edit formula columns.</a:t>
          </a:r>
          <a:br>
            <a:rPr lang="en-IN" sz="1600"/>
          </a:br>
          <a:br>
            <a:rPr lang="en-IN" sz="1600"/>
          </a:br>
          <a:r>
            <a:rPr lang="en-IN" sz="1600" b="1"/>
            <a:t>Step 4: Optional Setup Adjustments</a:t>
          </a:r>
          <a:br>
            <a:rPr lang="en-IN" sz="1600"/>
          </a:br>
          <a:br>
            <a:rPr lang="en-IN" sz="1600"/>
          </a:br>
          <a:r>
            <a:rPr lang="en-IN" sz="1600"/>
            <a:t>The Setup sheet controls the planning logic.</a:t>
          </a:r>
          <a:br>
            <a:rPr lang="en-IN" sz="1600"/>
          </a:br>
          <a:br>
            <a:rPr lang="en-IN" sz="1600"/>
          </a:br>
          <a:r>
            <a:rPr lang="en-IN" sz="1600"/>
            <a:t>Only update this sheet if demand patterns or delivery schedules change.</a:t>
          </a:r>
          <a:br>
            <a:rPr lang="en-IN" sz="1600"/>
          </a:br>
          <a:br>
            <a:rPr lang="en-IN" sz="1600"/>
          </a:br>
          <a:r>
            <a:rPr lang="en-IN" sz="1600"/>
            <a:t>Manager-adjustable settings include:</a:t>
          </a:r>
          <a:br>
            <a:rPr lang="en-IN" sz="1600"/>
          </a:br>
          <a:br>
            <a:rPr lang="en-IN" sz="1600"/>
          </a:br>
          <a:r>
            <a:rPr lang="en-IN" sz="1600"/>
            <a:t>• Delivery Coverage Flags – controls which weekdays each delivery should cover</a:t>
          </a:r>
          <a:br>
            <a:rPr lang="en-IN" sz="1600"/>
          </a:br>
          <a:r>
            <a:rPr lang="en-IN" sz="1600"/>
            <a:t>• Profile Multiplier – adjusts demand level for Low, Normal, and High profiles</a:t>
          </a:r>
          <a:br>
            <a:rPr lang="en-IN" sz="1600"/>
          </a:br>
          <a:r>
            <a:rPr lang="en-IN" sz="1600"/>
            <a:t>• Profile Rules – controls how the forecast selects the demand profile</a:t>
          </a:r>
          <a:br>
            <a:rPr lang="en-IN" sz="1600"/>
          </a:br>
          <a:br>
            <a:rPr lang="en-IN" sz="1600"/>
          </a:br>
          <a:r>
            <a:rPr lang="en-IN" sz="1600"/>
            <a:t>Higher multiplier = higher demand assumption</a:t>
          </a:r>
          <a:br>
            <a:rPr lang="en-IN" sz="1600"/>
          </a:br>
          <a:r>
            <a:rPr lang="en-IN" sz="1600"/>
            <a:t>Lower multiplier = lower demand assumption</a:t>
          </a:r>
          <a:br>
            <a:rPr lang="en-IN" sz="1600"/>
          </a:br>
          <a:br>
            <a:rPr lang="en-IN" sz="1600"/>
          </a:br>
          <a:r>
            <a:rPr lang="en-IN" sz="1600" b="1"/>
            <a:t>Important Notes</a:t>
          </a:r>
          <a:br>
            <a:rPr lang="en-IN" sz="1600"/>
          </a:br>
          <a:br>
            <a:rPr lang="en-IN" sz="1600"/>
          </a:br>
          <a:r>
            <a:rPr lang="en-IN" sz="1600"/>
            <a:t>• Only edit input fields</a:t>
          </a:r>
          <a:br>
            <a:rPr lang="en-IN" sz="1600"/>
          </a:br>
          <a:r>
            <a:rPr lang="en-IN" sz="1600"/>
            <a:t>• Do not edit formula cells</a:t>
          </a:r>
          <a:br>
            <a:rPr lang="en-IN" sz="1600"/>
          </a:br>
          <a:r>
            <a:rPr lang="en-IN" sz="1600"/>
            <a:t>• Missing dates in the sales table represent store-closed days and are intentionally excluded from demand forecastin• Sales data is synthetic and used only for portfolio demonstration</a:t>
          </a:r>
          <a:br>
            <a:rPr lang="en-IN" sz="1600"/>
          </a:br>
          <a:r>
            <a:rPr lang="en-IN" sz="1600"/>
            <a:t>• Product names are anonymised</a:t>
          </a:r>
          <a:endParaRPr lang="en-US" sz="16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-409575</xdr:colOff>
      <xdr:row>0</xdr:row>
      <xdr:rowOff>-171450</xdr:rowOff>
    </xdr:from>
    <xdr:to>
      <xdr:col>0</xdr:col>
      <xdr:colOff>-409575</xdr:colOff>
      <xdr:row>0</xdr:row>
      <xdr:rowOff>-171450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8EFEE8-C6BF-569D-7A53-A22EDFC7F40D}"/>
            </a:ext>
            <a:ext uri="{147F2762-F138-4A5C-976F-8EAC2B608ADB}">
              <a16:predDERef xmlns:a16="http://schemas.microsoft.com/office/drawing/2014/main" pred="{66FE3909-F3DC-B741-2284-040C15311272}"/>
            </a:ext>
          </a:extLst>
        </xdr:cNvPr>
        <xdr:cNvSpPr txBox="1"/>
      </xdr:nvSpPr>
      <xdr:spPr>
        <a:xfrm>
          <a:off x="-409575" y="-1714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Order Planner – Quick Instructions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Step 1: Select Planning Inputs (Top Section)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Manager must select: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Stocktake Day – Day stock is counted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Delivery Day – Day delivery arrives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Demand Profile – Select Low, Normal, or High based on expected demand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Include Delivery Day in Pre-Demand –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 Select TRUE if delivery arrives after service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 Select FALSE if delivery arrives before service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Step 2: Enter Stock Information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Enter Current Stock for each item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Enter Incoming Ordered if already ordered (otherwise enter 0)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Step 3: Check Order Qty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Order Qty column shows the final recommended quantity to order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Order this quantity for each item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All calculations are automatic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Step 4: Setup Adjustments (Optional – Manager can modify)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Manager can adjust settings in the Setup sheet if needed: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Delivery Coverage Flags – controls which days delivery should cover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Profile Multiplier – adjusts overall demand level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 Higher value = higher demand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 Lower value = lower demand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Only change these if demand patterns or delivery schedule changes.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Important Notes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Only edit input fields (Stocktake Day, Delivery Day, Demand Profile, Include Delivery Day, Current Stock, Incoming Ordered)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Do not edit formula columns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File automatically calculates accurate order quantity</a:t>
          </a:r>
        </a:p>
      </xdr:txBody>
    </xdr:sp>
    <xdr:clientData/>
  </xdr:twoCellAnchor>
  <xdr:twoCellAnchor>
    <xdr:from>
      <xdr:col>2</xdr:col>
      <xdr:colOff>809625</xdr:colOff>
      <xdr:row>1</xdr:row>
      <xdr:rowOff>57150</xdr:rowOff>
    </xdr:from>
    <xdr:to>
      <xdr:col>5</xdr:col>
      <xdr:colOff>971550</xdr:colOff>
      <xdr:row>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05F7BB-9A18-6E61-DB32-023E84D969CD}"/>
            </a:ext>
            <a:ext uri="{147F2762-F138-4A5C-976F-8EAC2B608ADB}">
              <a16:predDERef xmlns:a16="http://schemas.microsoft.com/office/drawing/2014/main" pred="{B28EFEE8-C6BF-569D-7A53-A22EDFC7F40D}"/>
            </a:ext>
          </a:extLst>
        </xdr:cNvPr>
        <xdr:cNvSpPr txBox="1"/>
      </xdr:nvSpPr>
      <xdr:spPr>
        <a:xfrm>
          <a:off x="4029075" y="247650"/>
          <a:ext cx="280987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Input in the Yellow Cell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3ED4FD4-A238-450B-89E0-6086D3F482B8}" name="tPlan" displayName="tPlan" ref="A8:L21" totalsRowShown="0" headerRowDxfId="94" dataDxfId="92" headerRowBorderDxfId="93" tableBorderDxfId="91" totalsRowBorderDxfId="90">
  <autoFilter ref="A8:L21" xr:uid="{53ED4FD4-A238-450B-89E0-6086D3F482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CECD11A-54B7-4AD5-992D-A137AF8EE19A}" name="Item" dataDxfId="89"/>
    <tableColumn id="2" xr3:uid="{B861ED81-875D-4EE9-97AB-32CC49E1350A}" name="Current Stock" dataDxfId="88"/>
    <tableColumn id="12" xr3:uid="{5D343820-B798-43A5-9A03-44797AF18A47}" name="Incoming Ordered" dataDxfId="87"/>
    <tableColumn id="6" xr3:uid="{B41DD46D-799B-4038-9AF0-98964DB88236}" name="Order Qty" dataDxfId="86">
      <calculatedColumnFormula>MAX(0, ROUNDUP(tPlan[[#This Row],[Total Required]] - (tPlan[[#This Row],[Current Stock]] + tPlan[[#This Row],[Incoming Ordered]]), 0))</calculatedColumnFormula>
    </tableColumn>
    <tableColumn id="9" xr3:uid="{7193509C-7FC5-42B6-88E5-72265261D3AA}" name="Status" dataDxfId="85">
      <calculatedColumnFormula>IF(tPlan[[#This Row],[Projected Stock Delivery]]&lt;=0,"URGENT",
 IF(tPlan[[#This Row],[Order Qty]]&gt;0,"ORDER","OK"))</calculatedColumnFormula>
    </tableColumn>
    <tableColumn id="3" xr3:uid="{5A2F1E90-C6F4-468F-BAF7-4CC9F7E64DBA}" name="Coverage Demand" dataDxfId="84">
      <calculatedColumnFormula array="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calculatedColumnFormula>
    </tableColumn>
    <tableColumn id="4" xr3:uid="{35010264-A96E-499E-A430-4640E658F51B}" name="Adjusted Buffer" dataDxfId="83">
      <calculatedColumnFormula array="1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calculatedColumnFormula>
    </tableColumn>
    <tableColumn id="5" xr3:uid="{8DA504D2-9881-4981-BC89-65F3B2ECBD6D}" name="Total Required" dataDxfId="82">
      <calculatedColumnFormula>tPlan[[#This Row],[Pre-Delivery Demand]] + tPlan[[#This Row],[Coverage Demand]] + tPlan[[#This Row],[Adjusted Buffer]]</calculatedColumnFormula>
    </tableColumn>
    <tableColumn id="7" xr3:uid="{55505C63-30D4-48B6-ACCE-1042048984D4}" name="Revenue at Risk" dataDxfId="81">
      <calculatedColumnFormula array="1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calculatedColumnFormula>
    </tableColumn>
    <tableColumn id="8" xr3:uid="{6F3047A5-C176-4F7E-93FC-BA29E699B6B9}" name="Stock Runway Days" dataDxfId="80">
      <calculatedColumnFormula array="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calculatedColumnFormula>
    </tableColumn>
    <tableColumn id="10" xr3:uid="{45E169F3-C016-48CB-86CC-64ACEE64B221}" name="Pre-Delivery Demand" dataDxfId="79">
      <calculatedColumnFormula array="1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calculatedColumnFormula>
    </tableColumn>
    <tableColumn id="11" xr3:uid="{1FB305F1-3A36-47C7-B80B-8D1166FE8355}" name="Projected Stock Delivery" dataDxfId="78">
      <calculatedColumnFormula>MAX(0, tPlan[[#This Row],[Current Stock]] - tPlan[[#This Row],[Pre-Delivery Demand]])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AF3AC-29E1-4BF6-BEE7-FFA67745A958}" name="tSales" displayName="tSales" ref="A1:E197" totalsRowShown="0" headerRowDxfId="77" dataDxfId="76">
  <autoFilter ref="A1:E197" xr:uid="{687AF3AC-29E1-4BF6-BEE7-FFA67745A95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8EE4312-2C03-4EE7-A709-28D2A0270BF5}" name="Date" dataDxfId="75"/>
    <tableColumn id="2" xr3:uid="{EFAD6271-37EA-4B86-9AC2-4D2E55CA3F09}" name="Weekday" dataDxfId="74"/>
    <tableColumn id="3" xr3:uid="{20656A9B-1841-4C77-B95C-885145641B41}" name="Sales" dataDxfId="73"/>
    <tableColumn id="4" xr3:uid="{0E99FD29-4B58-4361-B349-000F82FDC2B1}" name="YearWeek" dataDxfId="72"/>
    <tableColumn id="5" xr3:uid="{49751E73-6F74-4286-8BF8-8A908B747E20}" name="Week_Type" dataDxfId="7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45771-FD62-4D7F-B42C-20E4D984CCEF}" name="DeliveryDays" displayName="DeliveryDays" ref="A3:A7" totalsRowShown="0" headerRowDxfId="70" dataDxfId="68" headerRowBorderDxfId="69" tableBorderDxfId="67" totalsRowBorderDxfId="66">
  <autoFilter ref="A3:A7" xr:uid="{BA345771-FD62-4D7F-B42C-20E4D984CCEF}">
    <filterColumn colId="0" hiddenButton="1"/>
  </autoFilter>
  <tableColumns count="1">
    <tableColumn id="1" xr3:uid="{C8DC21A7-FF20-4726-9751-2721EAA68AE9}" name="Delivery_Day" dataDxfId="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64675C-DD77-463C-8E02-AD2509A1CB70}" name="DeliveryCoverage" displayName="DeliveryCoverage" ref="C4:J8" totalsRowShown="0" headerRowDxfId="64" dataDxfId="62" headerRowBorderDxfId="63" tableBorderDxfId="61" totalsRowBorderDxfId="60">
  <autoFilter ref="C4:J8" xr:uid="{5564675C-DD77-463C-8E02-AD2509A1CB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A9D508-5EAB-43E0-BA8D-BACB86441572}" name="Delivery_Day" dataDxfId="59"/>
    <tableColumn id="2" xr3:uid="{F164160F-1B4B-41EB-BA82-BC4B686A8B7E}" name="Mon" dataDxfId="58"/>
    <tableColumn id="3" xr3:uid="{DFA8CAC5-7DDF-4843-AFB9-3A44A78EA656}" name="Tue" dataDxfId="57"/>
    <tableColumn id="4" xr3:uid="{5944F860-C1A6-4E9C-ACAA-8596804253E1}" name="Wed" dataDxfId="56"/>
    <tableColumn id="5" xr3:uid="{642D76CE-D65C-4FA7-AE5A-4C0ABD03F050}" name="Thu" dataDxfId="55"/>
    <tableColumn id="6" xr3:uid="{ED858951-BD5D-4D22-B2CC-9C4057BCAC51}" name="Fri" dataDxfId="54"/>
    <tableColumn id="7" xr3:uid="{E4C0054F-A715-4810-AD4E-5501EC48650B}" name="Sat" dataDxfId="53"/>
    <tableColumn id="8" xr3:uid="{CAFF46B2-68C5-435C-8F6D-08A06C3ED6E3}" name="Sun" dataDxfId="5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E695A0-FB96-4682-B152-CB1835512F94}" name="WeekdayList" displayName="WeekdayList" ref="L3:L10" totalsRowShown="0" headerRowDxfId="51" dataDxfId="49" headerRowBorderDxfId="50" tableBorderDxfId="48" totalsRowBorderDxfId="47">
  <autoFilter ref="L3:L10" xr:uid="{90E695A0-FB96-4682-B152-CB1835512F94}">
    <filterColumn colId="0" hiddenButton="1"/>
  </autoFilter>
  <tableColumns count="1">
    <tableColumn id="1" xr3:uid="{AEEBC02C-2D1E-4C56-8F17-D591FF27C20A}" name="Weekday_List" dataDxfId="46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8BB8B5-6DAE-4DD8-BB98-BC8A4D47C563}" name="DemandProfile" displayName="DemandProfile" ref="N3:O6" totalsRowShown="0" headerRowDxfId="45" dataDxfId="43" headerRowBorderDxfId="44" tableBorderDxfId="42" totalsRowBorderDxfId="41">
  <autoFilter ref="N3:O6" xr:uid="{268BB8B5-6DAE-4DD8-BB98-BC8A4D47C563}">
    <filterColumn colId="0" hiddenButton="1"/>
    <filterColumn colId="1" hiddenButton="1"/>
  </autoFilter>
  <tableColumns count="2">
    <tableColumn id="1" xr3:uid="{64ED2ABE-75E6-4877-AB3A-DB24F075CF1D}" name="Profile" dataDxfId="40"/>
    <tableColumn id="2" xr3:uid="{9A7ED98D-B906-48E2-A3CD-7E8C3C6EFEFD}" name="Multiplier" dataDxfId="39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F259D0-09C1-427D-B45F-6BA015DFBB2D}" name="ProfileRules" displayName="ProfileRules" ref="C17:E20" totalsRowShown="0" headerRowDxfId="38" dataDxfId="36" headerRowBorderDxfId="37" tableBorderDxfId="35" totalsRowBorderDxfId="34">
  <autoFilter ref="C17:E20" xr:uid="{98F259D0-09C1-427D-B45F-6BA015DFBB2D}">
    <filterColumn colId="0" hiddenButton="1"/>
    <filterColumn colId="1" hiddenButton="1"/>
    <filterColumn colId="2" hiddenButton="1"/>
  </autoFilter>
  <tableColumns count="3">
    <tableColumn id="1" xr3:uid="{8DB4260F-DDB1-4757-84F9-4102DE5C7AA8}" name="Profile" dataDxfId="33"/>
    <tableColumn id="2" xr3:uid="{C764D3D7-27BA-4B33-990F-5D071BE67D1F}" name="Min" dataDxfId="32"/>
    <tableColumn id="3" xr3:uid="{96CCA9CE-883F-41CF-9174-0FC7E04E6F42}" name="Multiplier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E4B9DF-9E6A-4CFD-97CF-CE55523A83BB}" name="ForecastTbl" displayName="ForecastTbl" ref="D2:H9" totalsRowShown="0" headerRowDxfId="30" dataDxfId="28" headerRowBorderDxfId="29" tableBorderDxfId="27" totalsRowBorderDxfId="26">
  <autoFilter ref="D2:H9" xr:uid="{B6E4B9DF-9E6A-4CFD-97CF-CE55523A83B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9FAAA5C-51AC-4F47-A3A9-A0635C6EC7FE}" name="Weekday" dataDxfId="25"/>
    <tableColumn id="2" xr3:uid="{BD352C6F-A5BB-4C49-974C-6E471D5FE9EE}" name="Forecast_Sales" dataDxfId="24">
      <calculatedColumnFormula array="1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calculatedColumnFormula>
    </tableColumn>
    <tableColumn id="3" xr3:uid="{09A987AF-A0BD-436E-BDAC-CD174B5ACB55}" name="Baseline_Sales" dataDxfId="23">
      <calculatedColumnFormula>_xlfn.LET(
 _xlpm.wd, ForecastTbl[[#This Row],[Weekday]],
 _xlpm.startDate, $B$3,
 _xlpm.cutoff, _xlpm.startDate-84,
 AVERAGEIFS(#REF!,#REF!,
 _xlpm.wd,#REF!,
 "&gt;="&amp;_xlpm.cutoff,#REF!,
 "&lt;"&amp;_xlpm.startDate
 )
)</calculatedColumnFormula>
    </tableColumn>
    <tableColumn id="4" xr3:uid="{7BF2FF18-053E-4371-8E8E-90EEA776C8B4}" name="Raw_Multiplier" dataDxfId="22">
      <calculatedColumnFormula>IF(ForecastTbl[[#This Row],[Baseline_Sales]]=0,1,ForecastTbl[[#This Row],[Forecast_Sales]]/ForecastTbl[[#This Row],[Baseline_Sales]])</calculatedColumnFormula>
    </tableColumn>
    <tableColumn id="6" xr3:uid="{0559D100-1CBA-4F00-8F68-1399A246530C}" name="Effective_Multiplier" dataDxfId="21">
      <calculatedColumnFormula>Forecast_Model!$E16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25F86-7A58-4B36-8023-4BF1B57148B3}" name="UsageProfiles" displayName="UsageProfiles" ref="A1:N40" totalsRowShown="0" headerRowDxfId="20" dataDxfId="19">
  <autoFilter ref="A1:N40" xr:uid="{03B25F86-7A58-4B36-8023-4BF1B57148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493EABE-41C3-4F8D-A25F-F3F1C12D5A62}" name="Item" dataDxfId="18"/>
    <tableColumn id="11" xr3:uid="{04526B6F-CBFB-47D1-BE76-C0DC12534F3B}" name="Profile" dataDxfId="17"/>
    <tableColumn id="10" xr3:uid="{E258322F-5455-4F91-90DD-A9491C96D5F8}" name="Sales_per_unit" dataDxfId="16"/>
    <tableColumn id="2" xr3:uid="{ED7308FA-E976-4DB9-9CFF-73390FB940B6}" name="Mon" dataDxfId="15"/>
    <tableColumn id="3" xr3:uid="{1EECBB4D-BFF8-4493-84FA-6DFB3BE11200}" name="Tue" dataDxfId="14"/>
    <tableColumn id="4" xr3:uid="{6EC746B3-C5F8-458F-8531-DD83C02D7E29}" name="Wed" dataDxfId="13"/>
    <tableColumn id="5" xr3:uid="{44D3EE04-98C5-4DBE-9ED4-7E402D3160FB}" name="Thu" dataDxfId="12"/>
    <tableColumn id="6" xr3:uid="{5AA19F89-2BBB-465B-B11E-4FFB97D37D92}" name="Fri" dataDxfId="11"/>
    <tableColumn id="7" xr3:uid="{2AB6A3A5-5ECF-4078-887D-290597360B28}" name="Sat" dataDxfId="10"/>
    <tableColumn id="8" xr3:uid="{FA75883A-FBD1-447D-968A-05A7578FA662}" name="Sun" dataDxfId="9"/>
    <tableColumn id="9" xr3:uid="{DE4425F8-36F3-4169-8728-1E1A738F85E6}" name="Buffer" dataDxfId="8"/>
    <tableColumn id="12" xr3:uid="{17717447-2696-4115-A14F-18262625C78C}" name="Weekly_Usage" dataDxfId="7">
      <calculatedColumnFormula>UsageProfiles[[#This Row],[Mon]]+UsageProfiles[[#This Row],[Tue]]+UsageProfiles[[#This Row],[Wed]]+UsageProfiles[[#This Row],[Thu]]+UsageProfiles[[#This Row],[Fri]]+UsageProfiles[[#This Row],[Sat]]+UsageProfiles[[#This Row],[Sun]]</calculatedColumnFormula>
    </tableColumn>
    <tableColumn id="13" xr3:uid="{78E84951-0005-4D44-98D5-8D430550599C}" name="Adjusted_Buffer" dataDxfId="6">
      <calculatedColumnFormula>ROUNDUP(UsageProfiles[[#This Row],[Buffer]]*_xlfn.XLOOKUP(UsageProfiles[[#This Row],[Profile]], DemandProfile[Profile], DemandProfile[Multiplier]),0)</calculatedColumnFormula>
    </tableColumn>
    <tableColumn id="14" xr3:uid="{323F3983-18A5-4C38-BDCF-EE3C50D4903F}" name="Total_Weekly_Need" dataDxfId="5">
      <calculatedColumnFormula>ROUNDUP(UsageProfiles[[#This Row],[Weekly_Usage]]+UsageProfiles[[#This Row],[Adjusted_Buffer]],1)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53CC-BD03-47EE-B9A0-3D3D8E478262}">
  <sheetPr>
    <tabColor theme="2" tint="-0.89999084444715716"/>
  </sheetPr>
  <dimension ref="A1"/>
  <sheetViews>
    <sheetView tabSelected="1" topLeftCell="B20" zoomScale="50" zoomScaleNormal="100" workbookViewId="0">
      <selection activeCell="AE51" sqref="AE51"/>
    </sheetView>
  </sheetViews>
  <sheetFormatPr defaultColWidth="9.109375" defaultRowHeight="14.4" x14ac:dyDescent="0.3"/>
  <cols>
    <col min="1" max="16384" width="9.109375" style="1"/>
  </cols>
  <sheetData/>
  <sheetProtection algorithmName="SHA-512" hashValue="KDVNi3NTIqbKG/o3a3G+WaxxkgQSY+4Y2NFUWTl6U50rBI1/6kmORGOQK0AR+CdXPAqlsIK8sdCwDeKVnN2k4w==" saltValue="G3iAi5vHAomBadIERj8zxg==" spinCount="100000"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45EE-329F-4FE6-A936-33BB3E5A98C3}">
  <sheetPr>
    <tabColor theme="9" tint="-0.249977111117893"/>
  </sheetPr>
  <dimension ref="A2:L21"/>
  <sheetViews>
    <sheetView zoomScale="93" zoomScaleNormal="100" workbookViewId="0">
      <pane xSplit="1" topLeftCell="B1" activePane="topRight" state="frozen"/>
      <selection pane="topRight" activeCell="F29" sqref="F29"/>
    </sheetView>
  </sheetViews>
  <sheetFormatPr defaultColWidth="8.88671875" defaultRowHeight="14.4" x14ac:dyDescent="0.3"/>
  <cols>
    <col min="1" max="1" width="34.88671875" style="6" bestFit="1" customWidth="1"/>
    <col min="2" max="2" width="13.6640625" style="6" bestFit="1" customWidth="1"/>
    <col min="3" max="3" width="17.6640625" style="6" bestFit="1" customWidth="1"/>
    <col min="4" max="4" width="9.88671875" style="6" bestFit="1" customWidth="1"/>
    <col min="5" max="5" width="8.5546875" style="6" bestFit="1" customWidth="1"/>
    <col min="6" max="6" width="18.109375" style="6" bestFit="1" customWidth="1"/>
    <col min="7" max="7" width="15.33203125" style="6" bestFit="1" customWidth="1"/>
    <col min="8" max="8" width="14.33203125" style="6" bestFit="1" customWidth="1"/>
    <col min="9" max="9" width="15.44140625" style="6" bestFit="1" customWidth="1"/>
    <col min="10" max="10" width="19" style="6" bestFit="1" customWidth="1"/>
    <col min="11" max="11" width="20.6640625" style="6" bestFit="1" customWidth="1"/>
    <col min="12" max="12" width="23.88671875" style="6" bestFit="1" customWidth="1"/>
    <col min="13" max="13" width="12.33203125" style="6" bestFit="1" customWidth="1"/>
    <col min="14" max="14" width="16.109375" style="6" bestFit="1" customWidth="1"/>
    <col min="15" max="15" width="13.6640625" style="6" bestFit="1" customWidth="1"/>
    <col min="16" max="16" width="13.109375" style="6" bestFit="1" customWidth="1"/>
    <col min="17" max="17" width="9" style="6" bestFit="1" customWidth="1"/>
    <col min="18" max="18" width="14" style="6" bestFit="1" customWidth="1"/>
    <col min="19" max="19" width="12.44140625" style="6" bestFit="1" customWidth="1"/>
    <col min="20" max="16384" width="8.88671875" style="6"/>
  </cols>
  <sheetData>
    <row r="2" spans="1:12" x14ac:dyDescent="0.3">
      <c r="A2" s="73" t="s">
        <v>0</v>
      </c>
      <c r="B2" s="71" t="s">
        <v>1</v>
      </c>
      <c r="C2"/>
    </row>
    <row r="3" spans="1:12" x14ac:dyDescent="0.3">
      <c r="A3" s="73" t="s">
        <v>2</v>
      </c>
      <c r="B3" s="71" t="s">
        <v>3</v>
      </c>
      <c r="C3" s="54"/>
    </row>
    <row r="4" spans="1:12" x14ac:dyDescent="0.3">
      <c r="A4" s="74" t="s">
        <v>4</v>
      </c>
      <c r="B4" s="79" t="b">
        <v>1</v>
      </c>
      <c r="C4" s="1"/>
    </row>
    <row r="5" spans="1:12" x14ac:dyDescent="0.3">
      <c r="A5" s="75" t="s">
        <v>5</v>
      </c>
      <c r="B5" s="72" t="str">
        <f>Forecast_Model!E14</f>
        <v>Normal</v>
      </c>
      <c r="C5" s="62"/>
    </row>
    <row r="8" spans="1:12" x14ac:dyDescent="0.3">
      <c r="A8" s="77" t="s">
        <v>6</v>
      </c>
      <c r="B8" s="78" t="s">
        <v>7</v>
      </c>
      <c r="C8" s="4" t="s">
        <v>8</v>
      </c>
      <c r="D8" s="78" t="s">
        <v>9</v>
      </c>
      <c r="E8" s="65" t="s">
        <v>10</v>
      </c>
      <c r="F8" s="78" t="s">
        <v>11</v>
      </c>
      <c r="G8" s="78" t="s">
        <v>12</v>
      </c>
      <c r="H8" s="78" t="s">
        <v>13</v>
      </c>
      <c r="I8" s="78" t="s">
        <v>14</v>
      </c>
      <c r="J8" s="64" t="s">
        <v>110</v>
      </c>
      <c r="K8" s="63" t="s">
        <v>15</v>
      </c>
      <c r="L8" s="64" t="s">
        <v>16</v>
      </c>
    </row>
    <row r="9" spans="1:12" x14ac:dyDescent="0.3">
      <c r="A9" s="9" t="s">
        <v>97</v>
      </c>
      <c r="B9" s="61">
        <v>8</v>
      </c>
      <c r="C9" s="61">
        <v>1</v>
      </c>
      <c r="D9" s="27">
        <f>MAX(0, ROUNDUP(tPlan[[#This Row],[Total Required]] - (tPlan[[#This Row],[Current Stock]] + tPlan[[#This Row],[Incoming Ordered]]), 0))</f>
        <v>5</v>
      </c>
      <c r="E9" s="27" t="str">
        <f>IF(tPlan[[#This Row],[Projected Stock Delivery]]&lt;=0,"URGENT",
 IF(tPlan[[#This Row],[Order Qty]]&gt;0,"ORDER","OK"))</f>
        <v>ORDER</v>
      </c>
      <c r="F9" s="10" cm="1">
        <f t="array" ref="F9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4.178077547333225</v>
      </c>
      <c r="G9" s="27" cm="1">
        <f t="array" ref="G9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3</v>
      </c>
      <c r="H9" s="10">
        <f>tPlan[[#This Row],[Pre-Delivery Demand]] + tPlan[[#This Row],[Coverage Demand]] + tPlan[[#This Row],[Adjusted Buffer]]</f>
        <v>13.178077547333224</v>
      </c>
      <c r="I9" s="81" cm="1">
        <f t="array" ref="I9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2089.0387736666121</v>
      </c>
      <c r="J9" s="56" cm="1">
        <f t="array" ref="J9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4.3</v>
      </c>
      <c r="K9" s="66" cm="1">
        <f t="array" ref="K9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6</v>
      </c>
      <c r="L9" s="67">
        <f>MAX(0, tPlan[[#This Row],[Current Stock]] - tPlan[[#This Row],[Pre-Delivery Demand]])</f>
        <v>2</v>
      </c>
    </row>
    <row r="10" spans="1:12" x14ac:dyDescent="0.3">
      <c r="A10" s="9" t="s">
        <v>98</v>
      </c>
      <c r="B10" s="61">
        <v>20</v>
      </c>
      <c r="C10" s="61">
        <v>5</v>
      </c>
      <c r="D10" s="27">
        <f>MAX(0, ROUNDUP(tPlan[[#This Row],[Total Required]] - (tPlan[[#This Row],[Current Stock]] + tPlan[[#This Row],[Incoming Ordered]]), 0))</f>
        <v>10</v>
      </c>
      <c r="E10" s="27" t="str">
        <f>IF(tPlan[[#This Row],[Projected Stock Delivery]]&lt;=0,"URGENT",
 IF(tPlan[[#This Row],[Order Qty]]&gt;0,"ORDER","OK"))</f>
        <v>ORDER</v>
      </c>
      <c r="F10" s="10" cm="1">
        <f t="array" ref="F10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13.57875202883298</v>
      </c>
      <c r="G10" s="27" cm="1">
        <f t="array" ref="G10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4</v>
      </c>
      <c r="H10" s="10">
        <f>tPlan[[#This Row],[Pre-Delivery Demand]] + tPlan[[#This Row],[Coverage Demand]] + tPlan[[#This Row],[Adjusted Buffer]]</f>
        <v>34.57875202883298</v>
      </c>
      <c r="I10" s="81" cm="1">
        <f t="array" ref="I10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9578.7520288329797</v>
      </c>
      <c r="J10" s="56" cm="1">
        <f t="array" ref="J10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3.7</v>
      </c>
      <c r="K10" s="66" cm="1">
        <f t="array" ref="K10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17</v>
      </c>
      <c r="L10" s="67">
        <f>MAX(0, tPlan[[#This Row],[Current Stock]] - tPlan[[#This Row],[Pre-Delivery Demand]])</f>
        <v>3</v>
      </c>
    </row>
    <row r="11" spans="1:12" x14ac:dyDescent="0.3">
      <c r="A11" s="9" t="s">
        <v>99</v>
      </c>
      <c r="B11" s="61">
        <v>8</v>
      </c>
      <c r="C11" s="61">
        <v>2</v>
      </c>
      <c r="D11" s="27">
        <f>MAX(0, ROUNDUP(tPlan[[#This Row],[Total Required]] - (tPlan[[#This Row],[Current Stock]] + tPlan[[#This Row],[Incoming Ordered]]), 0))</f>
        <v>5</v>
      </c>
      <c r="E11" s="27" t="str">
        <f>IF(tPlan[[#This Row],[Projected Stock Delivery]]&lt;=0,"URGENT",
 IF(tPlan[[#This Row],[Order Qty]]&gt;0,"ORDER","OK"))</f>
        <v>ORDER</v>
      </c>
      <c r="F11" s="10" cm="1">
        <f t="array" ref="F1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4.178077547333225</v>
      </c>
      <c r="G11" s="27" cm="1">
        <f t="array" ref="G11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4</v>
      </c>
      <c r="H11" s="10">
        <f>tPlan[[#This Row],[Pre-Delivery Demand]] + tPlan[[#This Row],[Coverage Demand]] + tPlan[[#This Row],[Adjusted Buffer]]</f>
        <v>14.178077547333224</v>
      </c>
      <c r="I11" s="81" cm="1">
        <f t="array" ref="I11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1880.1348962999509</v>
      </c>
      <c r="J11" s="56" cm="1">
        <f t="array" ref="J1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4.8</v>
      </c>
      <c r="K11" s="66" cm="1">
        <f t="array" ref="K11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6</v>
      </c>
      <c r="L11" s="67">
        <f>MAX(0, tPlan[[#This Row],[Current Stock]] - tPlan[[#This Row],[Pre-Delivery Demand]])</f>
        <v>2</v>
      </c>
    </row>
    <row r="12" spans="1:12" x14ac:dyDescent="0.3">
      <c r="A12" s="9" t="s">
        <v>100</v>
      </c>
      <c r="B12" s="61">
        <v>15</v>
      </c>
      <c r="C12" s="61">
        <v>8</v>
      </c>
      <c r="D12" s="68">
        <f>MAX(0, ROUNDUP(tPlan[[#This Row],[Total Required]] - (tPlan[[#This Row],[Current Stock]] + tPlan[[#This Row],[Incoming Ordered]]), 0))</f>
        <v>0</v>
      </c>
      <c r="E12" s="27" t="str">
        <f>IF(tPlan[[#This Row],[Projected Stock Delivery]]&lt;=0,"URGENT",
 IF(tPlan[[#This Row],[Order Qty]]&gt;0,"ORDER","OK"))</f>
        <v>OK</v>
      </c>
      <c r="F12" s="69" cm="1">
        <f t="array" ref="F12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6.267116320999838</v>
      </c>
      <c r="G12" s="27" cm="1">
        <f t="array" ref="G12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5</v>
      </c>
      <c r="H12" s="69">
        <f>tPlan[[#This Row],[Pre-Delivery Demand]] + tPlan[[#This Row],[Coverage Demand]] + tPlan[[#This Row],[Adjusted Buffer]]</f>
        <v>19.26711632099984</v>
      </c>
      <c r="I12" s="81" cm="1">
        <f t="array" ref="I12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0</v>
      </c>
      <c r="J12" s="56" cm="1">
        <f t="array" ref="J12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7.3</v>
      </c>
      <c r="K12" s="66" cm="1">
        <f t="array" ref="K12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8</v>
      </c>
      <c r="L12" s="70">
        <f>MAX(0, tPlan[[#This Row],[Current Stock]] - tPlan[[#This Row],[Pre-Delivery Demand]])</f>
        <v>7</v>
      </c>
    </row>
    <row r="13" spans="1:12" x14ac:dyDescent="0.3">
      <c r="A13" s="76" t="s">
        <v>101</v>
      </c>
      <c r="B13" s="61">
        <v>6</v>
      </c>
      <c r="C13" s="61">
        <v>2</v>
      </c>
      <c r="D13" s="68">
        <f>MAX(0, ROUNDUP(tPlan[[#This Row],[Total Required]] - (tPlan[[#This Row],[Current Stock]] + tPlan[[#This Row],[Incoming Ordered]]), 0))</f>
        <v>7</v>
      </c>
      <c r="E13" s="27" t="str">
        <f>IF(tPlan[[#This Row],[Projected Stock Delivery]]&lt;=0,"URGENT",
 IF(tPlan[[#This Row],[Order Qty]]&gt;0,"ORDER","OK"))</f>
        <v>URGENT</v>
      </c>
      <c r="F13" s="69" cm="1">
        <f t="array" ref="F13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4.178077547333225</v>
      </c>
      <c r="G13" s="27" cm="1">
        <f t="array" ref="G13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4</v>
      </c>
      <c r="H13" s="69">
        <f>tPlan[[#This Row],[Pre-Delivery Demand]] + tPlan[[#This Row],[Coverage Demand]] + tPlan[[#This Row],[Adjusted Buffer]]</f>
        <v>14.178077547333224</v>
      </c>
      <c r="I13" s="81" cm="1">
        <f t="array" ref="I13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926.7116320999836</v>
      </c>
      <c r="J13" s="56" cm="1">
        <f t="array" ref="J13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3.8</v>
      </c>
      <c r="K13" s="66" cm="1">
        <f t="array" ref="K13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6</v>
      </c>
      <c r="L13" s="70">
        <f>MAX(0, tPlan[[#This Row],[Current Stock]] - tPlan[[#This Row],[Pre-Delivery Demand]])</f>
        <v>0</v>
      </c>
    </row>
    <row r="14" spans="1:12" x14ac:dyDescent="0.3">
      <c r="A14" s="9" t="s">
        <v>102</v>
      </c>
      <c r="B14" s="61">
        <v>6</v>
      </c>
      <c r="C14" s="61">
        <v>2</v>
      </c>
      <c r="D14" s="27">
        <f>MAX(0, ROUNDUP(tPlan[[#This Row],[Total Required]] - (tPlan[[#This Row],[Current Stock]] + tPlan[[#This Row],[Incoming Ordered]]), 0))</f>
        <v>0</v>
      </c>
      <c r="E14" s="27" t="str">
        <f>IF(tPlan[[#This Row],[Projected Stock Delivery]]&lt;=0,"URGENT",
 IF(tPlan[[#This Row],[Order Qty]]&gt;0,"ORDER","OK"))</f>
        <v>OK</v>
      </c>
      <c r="F14" s="10" cm="1">
        <f t="array" ref="F14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1.7756829576166204</v>
      </c>
      <c r="G14" s="27" cm="1">
        <f t="array" ref="G14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2</v>
      </c>
      <c r="H14" s="10">
        <f>tPlan[[#This Row],[Pre-Delivery Demand]] + tPlan[[#This Row],[Coverage Demand]] + tPlan[[#This Row],[Adjusted Buffer]]</f>
        <v>6.7756829576166204</v>
      </c>
      <c r="I14" s="81" cm="1">
        <f t="array" ref="I14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0</v>
      </c>
      <c r="J14" s="56" cm="1">
        <f t="array" ref="J14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9</v>
      </c>
      <c r="K14" s="66" cm="1">
        <f t="array" ref="K14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3</v>
      </c>
      <c r="L14" s="70">
        <f>MAX(0, tPlan[[#This Row],[Current Stock]] - tPlan[[#This Row],[Pre-Delivery Demand]])</f>
        <v>3</v>
      </c>
    </row>
    <row r="15" spans="1:12" x14ac:dyDescent="0.3">
      <c r="A15" s="9" t="s">
        <v>103</v>
      </c>
      <c r="B15" s="61">
        <v>8</v>
      </c>
      <c r="C15" s="61">
        <v>6</v>
      </c>
      <c r="D15" s="27">
        <f>MAX(0, ROUNDUP(tPlan[[#This Row],[Total Required]] - (tPlan[[#This Row],[Current Stock]] + tPlan[[#This Row],[Incoming Ordered]]), 0))</f>
        <v>1</v>
      </c>
      <c r="E15" s="27" t="str">
        <f>IF(tPlan[[#This Row],[Projected Stock Delivery]]&lt;=0,"URGENT",
 IF(tPlan[[#This Row],[Order Qty]]&gt;0,"ORDER","OK"))</f>
        <v>ORDER</v>
      </c>
      <c r="F15" s="10" cm="1">
        <f t="array" ref="F15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4.178077547333225</v>
      </c>
      <c r="G15" s="27" cm="1">
        <f t="array" ref="G15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4</v>
      </c>
      <c r="H15" s="10">
        <f>tPlan[[#This Row],[Pre-Delivery Demand]] + tPlan[[#This Row],[Coverage Demand]] + tPlan[[#This Row],[Adjusted Buffer]]</f>
        <v>14.178077547333224</v>
      </c>
      <c r="I15" s="81" cm="1">
        <f t="array" ref="I15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186.98142469988534</v>
      </c>
      <c r="J15" s="56" cm="1">
        <f t="array" ref="J15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6.7</v>
      </c>
      <c r="K15" s="66" cm="1">
        <f t="array" ref="K15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6</v>
      </c>
      <c r="L15" s="70">
        <f>MAX(0, tPlan[[#This Row],[Current Stock]] - tPlan[[#This Row],[Pre-Delivery Demand]])</f>
        <v>2</v>
      </c>
    </row>
    <row r="16" spans="1:12" x14ac:dyDescent="0.3">
      <c r="A16" s="9" t="s">
        <v>104</v>
      </c>
      <c r="B16" s="61">
        <v>1</v>
      </c>
      <c r="C16" s="61">
        <v>2</v>
      </c>
      <c r="D16" s="27">
        <f>MAX(0, ROUNDUP(tPlan[[#This Row],[Total Required]] - (tPlan[[#This Row],[Current Stock]] + tPlan[[#This Row],[Incoming Ordered]]), 0))</f>
        <v>3</v>
      </c>
      <c r="E16" s="27" t="str">
        <f>IF(tPlan[[#This Row],[Projected Stock Delivery]]&lt;=0,"URGENT",
 IF(tPlan[[#This Row],[Order Qty]]&gt;0,"ORDER","OK"))</f>
        <v>URGENT</v>
      </c>
      <c r="F16" s="10" cm="1">
        <f t="array" ref="F16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1.3578752028832983</v>
      </c>
      <c r="G16" s="27" cm="1">
        <f t="array" ref="G16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2</v>
      </c>
      <c r="H16" s="10">
        <f>tPlan[[#This Row],[Pre-Delivery Demand]] + tPlan[[#This Row],[Coverage Demand]] + tPlan[[#This Row],[Adjusted Buffer]]</f>
        <v>5.3578752028832985</v>
      </c>
      <c r="I16" s="81" cm="1">
        <f t="array" ref="I16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943.15008115331943</v>
      </c>
      <c r="J16" s="56" cm="1">
        <f t="array" ref="J16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4.4000000000000004</v>
      </c>
      <c r="K16" s="66" cm="1">
        <f t="array" ref="K16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2</v>
      </c>
      <c r="L16" s="70">
        <f>MAX(0, tPlan[[#This Row],[Current Stock]] - tPlan[[#This Row],[Pre-Delivery Demand]])</f>
        <v>0</v>
      </c>
    </row>
    <row r="17" spans="1:12" x14ac:dyDescent="0.3">
      <c r="A17" s="9" t="s">
        <v>105</v>
      </c>
      <c r="B17" s="61">
        <v>3</v>
      </c>
      <c r="C17" s="61">
        <v>0</v>
      </c>
      <c r="D17" s="27">
        <f>MAX(0, ROUNDUP(tPlan[[#This Row],[Total Required]] - (tPlan[[#This Row],[Current Stock]] + tPlan[[#This Row],[Incoming Ordered]]), 0))</f>
        <v>1</v>
      </c>
      <c r="E17" s="27" t="str">
        <f>IF(tPlan[[#This Row],[Projected Stock Delivery]]&lt;=0,"URGENT",
 IF(tPlan[[#This Row],[Order Qty]]&gt;0,"ORDER","OK"))</f>
        <v>ORDER</v>
      </c>
      <c r="F17" s="10" cm="1">
        <f t="array" ref="F17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1.0445193868333063</v>
      </c>
      <c r="G17" s="27" cm="1">
        <f t="array" ref="G17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0</v>
      </c>
      <c r="H17" s="10">
        <f>tPlan[[#This Row],[Pre-Delivery Demand]] + tPlan[[#This Row],[Coverage Demand]] + tPlan[[#This Row],[Adjusted Buffer]]</f>
        <v>3.044519386833306</v>
      </c>
      <c r="I17" s="81" cm="1">
        <f t="array" ref="I17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0</v>
      </c>
      <c r="J17" s="56" cm="1">
        <f t="array" ref="J17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5.7</v>
      </c>
      <c r="K17" s="66" cm="1">
        <f t="array" ref="K17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2</v>
      </c>
      <c r="L17" s="70">
        <f>MAX(0, tPlan[[#This Row],[Current Stock]] - tPlan[[#This Row],[Pre-Delivery Demand]])</f>
        <v>1</v>
      </c>
    </row>
    <row r="18" spans="1:12" x14ac:dyDescent="0.3">
      <c r="A18" s="9" t="s">
        <v>106</v>
      </c>
      <c r="B18" s="61">
        <v>1</v>
      </c>
      <c r="C18" s="61">
        <v>0</v>
      </c>
      <c r="D18" s="27">
        <f>MAX(0, ROUNDUP(tPlan[[#This Row],[Total Required]] - (tPlan[[#This Row],[Current Stock]] + tPlan[[#This Row],[Incoming Ordered]]), 0))</f>
        <v>3</v>
      </c>
      <c r="E18" s="27" t="str">
        <f>IF(tPlan[[#This Row],[Projected Stock Delivery]]&lt;=0,"URGENT",
 IF(tPlan[[#This Row],[Order Qty]]&gt;0,"ORDER","OK"))</f>
        <v>URGENT</v>
      </c>
      <c r="F18" s="10" cm="1">
        <f t="array" ref="F18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1.0445193868333063</v>
      </c>
      <c r="G18" s="27" cm="1">
        <f t="array" ref="G18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0</v>
      </c>
      <c r="H18" s="10">
        <f>tPlan[[#This Row],[Pre-Delivery Demand]] + tPlan[[#This Row],[Coverage Demand]] + tPlan[[#This Row],[Adjusted Buffer]]</f>
        <v>3.044519386833306</v>
      </c>
      <c r="I18" s="81" cm="1">
        <f t="array" ref="I18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0</v>
      </c>
      <c r="J18" s="56" cm="1">
        <f t="array" ref="J18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1.9</v>
      </c>
      <c r="K18" s="66" cm="1">
        <f t="array" ref="K18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2</v>
      </c>
      <c r="L18" s="70">
        <f>MAX(0, tPlan[[#This Row],[Current Stock]] - tPlan[[#This Row],[Pre-Delivery Demand]])</f>
        <v>0</v>
      </c>
    </row>
    <row r="19" spans="1:12" x14ac:dyDescent="0.3">
      <c r="A19" s="9" t="s">
        <v>107</v>
      </c>
      <c r="B19" s="61">
        <v>4</v>
      </c>
      <c r="C19" s="61">
        <v>0</v>
      </c>
      <c r="D19" s="27">
        <f>MAX(0, ROUNDUP(tPlan[[#This Row],[Total Required]] - (tPlan[[#This Row],[Current Stock]] + tPlan[[#This Row],[Incoming Ordered]]), 0))</f>
        <v>0</v>
      </c>
      <c r="E19" s="27" t="str">
        <f>IF(tPlan[[#This Row],[Projected Stock Delivery]]&lt;=0,"URGENT",
 IF(tPlan[[#This Row],[Order Qty]]&gt;0,"ORDER","OK"))</f>
        <v>OK</v>
      </c>
      <c r="F19" s="10" cm="1">
        <f t="array" ref="F19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1.0445193868333063</v>
      </c>
      <c r="G19" s="27" cm="1">
        <f t="array" ref="G19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0</v>
      </c>
      <c r="H19" s="10">
        <f>tPlan[[#This Row],[Pre-Delivery Demand]] + tPlan[[#This Row],[Coverage Demand]] + tPlan[[#This Row],[Adjusted Buffer]]</f>
        <v>3.044519386833306</v>
      </c>
      <c r="I19" s="81" cm="1">
        <f t="array" ref="I19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0</v>
      </c>
      <c r="J19" s="56" cm="1">
        <f t="array" ref="J19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7.7</v>
      </c>
      <c r="K19" s="66" cm="1">
        <f t="array" ref="K19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2</v>
      </c>
      <c r="L19" s="70">
        <f>MAX(0, tPlan[[#This Row],[Current Stock]] - tPlan[[#This Row],[Pre-Delivery Demand]])</f>
        <v>2</v>
      </c>
    </row>
    <row r="20" spans="1:12" x14ac:dyDescent="0.3">
      <c r="A20" s="76" t="s">
        <v>108</v>
      </c>
      <c r="B20" s="61">
        <v>1</v>
      </c>
      <c r="C20" s="61">
        <v>0</v>
      </c>
      <c r="D20" s="68">
        <f>MAX(0, ROUNDUP(tPlan[[#This Row],[Total Required]] - (tPlan[[#This Row],[Current Stock]] + tPlan[[#This Row],[Incoming Ordered]]), 0))</f>
        <v>8</v>
      </c>
      <c r="E20" s="27" t="str">
        <f>IF(tPlan[[#This Row],[Projected Stock Delivery]]&lt;=0,"URGENT",
 IF(tPlan[[#This Row],[Order Qty]]&gt;0,"ORDER","OK"))</f>
        <v>URGENT</v>
      </c>
      <c r="F20" s="69" cm="1">
        <f t="array" ref="F20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2.0890387736666125</v>
      </c>
      <c r="G20" s="27" cm="1">
        <f t="array" ref="G20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2</v>
      </c>
      <c r="H20" s="69">
        <f>tPlan[[#This Row],[Pre-Delivery Demand]] + tPlan[[#This Row],[Coverage Demand]] + tPlan[[#This Row],[Adjusted Buffer]]</f>
        <v>8.0890387736666121</v>
      </c>
      <c r="I20" s="81" cm="1">
        <f t="array" ref="I20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3544.5193868333058</v>
      </c>
      <c r="J20" s="56" cm="1">
        <f t="array" ref="J20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1</v>
      </c>
      <c r="K20" s="66" cm="1">
        <f t="array" ref="K20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4</v>
      </c>
      <c r="L20" s="70">
        <f>MAX(0, tPlan[[#This Row],[Current Stock]] - tPlan[[#This Row],[Pre-Delivery Demand]])</f>
        <v>0</v>
      </c>
    </row>
    <row r="21" spans="1:12" x14ac:dyDescent="0.3">
      <c r="A21" s="76" t="s">
        <v>109</v>
      </c>
      <c r="B21" s="61">
        <v>4</v>
      </c>
      <c r="C21" s="61">
        <v>2</v>
      </c>
      <c r="D21" s="68">
        <f>MAX(0, ROUNDUP(tPlan[[#This Row],[Total Required]] - (tPlan[[#This Row],[Current Stock]] + tPlan[[#This Row],[Incoming Ordered]]), 0))</f>
        <v>3</v>
      </c>
      <c r="E21" s="27" t="str">
        <f>IF(tPlan[[#This Row],[Projected Stock Delivery]]&lt;=0,"URGENT",
 IF(tPlan[[#This Row],[Order Qty]]&gt;0,"ORDER","OK"))</f>
        <v>URGENT</v>
      </c>
      <c r="F21" s="69" cm="1">
        <f t="array" ref="F2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SUMPRODUCT(_xlpm.usageRow, _xlpm.effMultRow, _xlpm.coverFlagsRow)
)</f>
        <v>2.0890387736666125</v>
      </c>
      <c r="G21" s="27" cm="1">
        <f t="array" ref="G21">_xlfn.LET(
  _xlpm.item, tPlan[[#This Row],[Item]],
  _xlpm.prof, $B$5,
  _xlpm.baseBuffer, _xlfn.XLOOKUP(
    _xlpm.item&amp;"|"&amp;_xlpm.prof,
    UsageProfiles[Item]&amp;"|"&amp;UsageProfiles[Profile],
    UsageProfiles[Buffer],
    0
  ),
  _xlpm.profMult, Forecast_Model!$E$15,
  ROUNDUP(_xlpm.baseBuffer * _xlpm.profMult, 0)
)</f>
        <v>2</v>
      </c>
      <c r="H21" s="69">
        <f>tPlan[[#This Row],[Pre-Delivery Demand]] + tPlan[[#This Row],[Coverage Demand]] + tPlan[[#This Row],[Adjusted Buffer]]</f>
        <v>8.0890387736666121</v>
      </c>
      <c r="I21" s="81" cm="1">
        <f t="array" ref="I21">_xlfn.LET(
  _xlpm.item, tPlan[[#This Row],[Item]],
  _xlpm.prof, $B$5,
  _xlpm.salesUnit, _xlfn.XLOOKUP(
    _xlpm.item&amp;"|"&amp;_xlpm.prof,
    UsageProfiles[Item]&amp;"|"&amp;UsageProfiles[Profile],
    UsageProfiles[Sales_per_unit],
    0
  ),
  MAX(0, tPlan[[#This Row],[Total Required]] - (tPlan[[#This Row],[Current Stock]] + tPlan[[#This Row],[Incoming Ordered]])) * _xlpm.salesUnit
)</f>
        <v>2089.0387736666121</v>
      </c>
      <c r="J21" s="56" cm="1">
        <f t="array" ref="J21">_xlfn.LET(
  _xlpm.item, tPlan[[#This Row],[Item]],
  _xlpm.prof, $B$5,
  _xlpm.usageRow, _xlfn.XLOOKUP(
    _xlpm.item&amp;"|"&amp;_xlpm.prof,
    UsageProfiles[Item]&amp;"|"&amp;UsageProfiles[Profile],
    UsageProfiles[[Mon]:[Sun]],
    0
  ),
  _xlpm.effMultRow, _xlfn.XLOOKUP(
    {"Monday","Tuesday","Wednesday","Thursday","Friday","Saturday","Sunday"},
    ForecastTbl[Weekday],
    ForecastTbl[Effective_Multiplier],
    1
  ),
  _xlpm.coverFlagsRow, _xlfn.XLOOKUP(
    $B$3,
    DeliveryCoverage[Delivery_Day],
    DeliveryCoverage[[Mon]:[Sun]],
    0
  ),
  _xlpm.covDays, SUM(_xlpm.coverFlagsRow),
  _xlpm.covDemand, SUMPRODUCT(_xlpm.usageRow, _xlpm.effMultRow, _xlpm.coverFlagsRow),
  _xlpm.dailyDemand, IF(_xlpm.covDays=0, 0, _xlpm.covDemand/_xlpm.covDays),
  IF(_xlpm.dailyDemand=0, "", ROUND((tPlan[[#This Row],[Current Stock]]+tPlan[[#This Row],[Incoming Ordered]])/_xlpm.dailyDemand, 1))
)</f>
        <v>5.7</v>
      </c>
      <c r="K21" s="66" cm="1">
        <f t="array" ref="K21">ROUNDUP(
_xlfn.LET(
  _xlpm.stDay, TRIM($B$2),
  _xlpm.delDay, TRIM($B$3),
  _xlpm.incDel, $B$4,
  _xlpm.dayNames, {"Monday","Tuesday","Wednesday","Thursday","Friday","Saturday","Sunday"},
  _xlpm.idxSt, _xlfn.XMATCH(_xlpm.stDay, _xlpm.dayNames, 0),
  _xlpm.idxDel, _xlfn.XMATCH(_xlpm.delDay, _xlpm.dayNames, 0),
  _xlpm.days, {1,2,3,4,5,6,7},
  _xlpm.idxEnd, IF(_xlpm.incDel, _xlpm.idxDel, _xlpm.idxDel-1),
  _xlpm.flags,
    IF(
      OR(ISNA(_xlpm.idxSt), ISNA(_xlpm.idxDel), _xlpm.idxEnd&lt;1),
      {0,0,0,0,0,0,0},
      IF(
        _xlpm.idxSt&lt;=_xlpm.idxEnd,
        --(_xlpm.days&gt;=_xlpm.idxSt)*(_xlpm.days&lt;=_xlpm.idxEnd),
        --((_xlpm.days&gt;=_xlpm.idxSt)+(_xlpm.days&lt;=_xlpm.idxEnd)&gt;0)
      )
    ),
  _xlpm.usageRow, _xlfn.XLOOKUP(
    tPlan[[#This Row],[Item]]&amp;"|"&amp;$B$5,
    UsageProfiles[Item]&amp;"|"&amp;UsageProfiles[Profile],
    UsageProfiles[[Mon]:[Sun]],
    0
  ),
  _xlpm.effMultRow, _xlfn.XLOOKUP(
    _xlpm.dayNames,
    ForecastTbl[Weekday],
    ForecastTbl[Effective_Multiplier],
    1
  ),
  SUMPRODUCT(_xlpm.flags, _xlpm.usageRow, _xlpm.effMultRow)
),
0)</f>
        <v>4</v>
      </c>
      <c r="L21" s="70">
        <f>MAX(0, tPlan[[#This Row],[Current Stock]] - tPlan[[#This Row],[Pre-Delivery Demand]])</f>
        <v>0</v>
      </c>
    </row>
  </sheetData>
  <sheetProtection algorithmName="SHA-512" hashValue="+eFSmJuKYUcL+ddevO/dJnUzC4t9xw4CeDTuuOPN8oB01MaQpzxuEGN9D0xfp61kD01p8RyR6oo+q3v3OGKmcw==" saltValue="su9oIH86y8Dn7kDJiEH4gQ==" spinCount="100000" sheet="1" objects="1" scenarios="1"/>
  <protectedRanges>
    <protectedRange sqref="B9:C21" name="Range2"/>
    <protectedRange sqref="B2:B4" name="Range1"/>
  </protectedRanges>
  <conditionalFormatting sqref="B9:E21">
    <cfRule type="cellIs" dxfId="4" priority="1" operator="lessThan">
      <formula>0</formula>
    </cfRule>
  </conditionalFormatting>
  <conditionalFormatting sqref="D9:E21">
    <cfRule type="cellIs" dxfId="3" priority="5" operator="equal">
      <formula>0</formula>
    </cfRule>
  </conditionalFormatting>
  <conditionalFormatting sqref="E9:E21">
    <cfRule type="cellIs" dxfId="2" priority="6" operator="equal">
      <formula>"OK"</formula>
    </cfRule>
    <cfRule type="cellIs" dxfId="1" priority="7" operator="equal">
      <formula>"ORDER"</formula>
    </cfRule>
  </conditionalFormatting>
  <conditionalFormatting sqref="G7 D9:E21 G22:G1048576">
    <cfRule type="cellIs" dxfId="0" priority="11" operator="greaterThan">
      <formula>0</formula>
    </cfRule>
  </conditionalFormatting>
  <dataValidations count="5">
    <dataValidation type="list" allowBlank="1" showInputMessage="1" showErrorMessage="1" sqref="B3" xr:uid="{063762AC-0450-4BEE-9A64-1A3AAE3E1D62}">
      <formula1>DeliveryDayList</formula1>
    </dataValidation>
    <dataValidation type="list" allowBlank="1" showInputMessage="1" showErrorMessage="1" sqref="B5" xr:uid="{6EAFC4D9-C3DF-4595-B446-9AB868FC28BB}">
      <formula1>ProfileList</formula1>
    </dataValidation>
    <dataValidation type="list" allowBlank="1" showInputMessage="1" showErrorMessage="1" sqref="B2" xr:uid="{2AE0F1BA-E761-4DAD-9B89-3813F0AAFD95}">
      <formula1>Weekday_List</formula1>
    </dataValidation>
    <dataValidation type="list" allowBlank="1" showInputMessage="1" showErrorMessage="1" sqref="B4" xr:uid="{B51FA33F-92B6-40FF-9685-66CF941693CD}">
      <formula1>"True, False"</formula1>
    </dataValidation>
    <dataValidation type="whole" operator="greaterThanOrEqual" allowBlank="1" showInputMessage="1" showErrorMessage="1" sqref="B9:C21" xr:uid="{C1DA2E4B-744F-4F6E-9823-84AF75EB9FFD}">
      <formula1>0</formula1>
    </dataValidation>
  </dataValidations>
  <pageMargins left="0.7" right="0.7" top="0.75" bottom="0.75" header="0.3" footer="0.3"/>
  <pageSetup paperSize="9" fitToWidth="0" fitToHeight="0" orientation="portrait"/>
  <ignoredErrors>
    <ignoredError sqref="L9 L10:L21 G9" calculatedColumn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5A1E-0C02-4E99-8881-B0E6135AC008}">
  <sheetPr>
    <tabColor rgb="FFF86308"/>
  </sheetPr>
  <dimension ref="A1:G197"/>
  <sheetViews>
    <sheetView workbookViewId="0">
      <selection activeCell="E207" sqref="E207"/>
    </sheetView>
  </sheetViews>
  <sheetFormatPr defaultColWidth="8.88671875" defaultRowHeight="14.4" x14ac:dyDescent="0.3"/>
  <cols>
    <col min="1" max="1" width="11.21875" style="14" bestFit="1" customWidth="1"/>
    <col min="2" max="2" width="14" style="6" bestFit="1" customWidth="1"/>
    <col min="3" max="3" width="10.44140625" style="15" bestFit="1" customWidth="1"/>
    <col min="4" max="4" width="14.88671875" style="6" bestFit="1" customWidth="1"/>
    <col min="5" max="5" width="15.88671875" style="6" bestFit="1" customWidth="1"/>
    <col min="6" max="16384" width="8.88671875" style="6"/>
  </cols>
  <sheetData>
    <row r="1" spans="1:5" x14ac:dyDescent="0.3">
      <c r="A1" s="12" t="s">
        <v>17</v>
      </c>
      <c r="B1" s="4" t="s">
        <v>18</v>
      </c>
      <c r="C1" s="8" t="s">
        <v>19</v>
      </c>
      <c r="D1" s="4" t="s">
        <v>20</v>
      </c>
      <c r="E1" s="4" t="s">
        <v>21</v>
      </c>
    </row>
    <row r="2" spans="1:5" x14ac:dyDescent="0.3">
      <c r="A2" s="12">
        <v>45929</v>
      </c>
      <c r="B2" s="4" t="s">
        <v>3</v>
      </c>
      <c r="C2" s="8">
        <v>3453</v>
      </c>
      <c r="D2" s="4" t="s">
        <v>22</v>
      </c>
      <c r="E2" s="4" t="s">
        <v>23</v>
      </c>
    </row>
    <row r="3" spans="1:5" x14ac:dyDescent="0.3">
      <c r="A3" s="12">
        <v>45930</v>
      </c>
      <c r="B3" s="4" t="s">
        <v>24</v>
      </c>
      <c r="C3" s="8">
        <v>4163</v>
      </c>
      <c r="D3" s="4" t="s">
        <v>22</v>
      </c>
      <c r="E3" s="4" t="s">
        <v>23</v>
      </c>
    </row>
    <row r="4" spans="1:5" x14ac:dyDescent="0.3">
      <c r="A4" s="12">
        <v>45931</v>
      </c>
      <c r="B4" s="4" t="s">
        <v>25</v>
      </c>
      <c r="C4" s="8">
        <v>3885</v>
      </c>
      <c r="D4" s="4" t="s">
        <v>22</v>
      </c>
      <c r="E4" s="4" t="s">
        <v>23</v>
      </c>
    </row>
    <row r="5" spans="1:5" x14ac:dyDescent="0.3">
      <c r="A5" s="12">
        <v>45932</v>
      </c>
      <c r="B5" s="4" t="s">
        <v>26</v>
      </c>
      <c r="C5" s="8">
        <v>4206</v>
      </c>
      <c r="D5" s="4" t="s">
        <v>22</v>
      </c>
      <c r="E5" s="4" t="s">
        <v>23</v>
      </c>
    </row>
    <row r="6" spans="1:5" x14ac:dyDescent="0.3">
      <c r="A6" s="12">
        <v>45933</v>
      </c>
      <c r="B6" s="4" t="s">
        <v>27</v>
      </c>
      <c r="C6" s="8">
        <v>5977</v>
      </c>
      <c r="D6" s="4" t="s">
        <v>22</v>
      </c>
      <c r="E6" s="4" t="s">
        <v>23</v>
      </c>
    </row>
    <row r="7" spans="1:5" x14ac:dyDescent="0.3">
      <c r="A7" s="12">
        <v>45934</v>
      </c>
      <c r="B7" s="4" t="s">
        <v>28</v>
      </c>
      <c r="C7" s="8">
        <v>8970</v>
      </c>
      <c r="D7" s="4" t="s">
        <v>22</v>
      </c>
      <c r="E7" s="4" t="s">
        <v>23</v>
      </c>
    </row>
    <row r="8" spans="1:5" x14ac:dyDescent="0.3">
      <c r="A8" s="12">
        <v>45935</v>
      </c>
      <c r="B8" s="4" t="s">
        <v>1</v>
      </c>
      <c r="C8" s="8">
        <v>8379</v>
      </c>
      <c r="D8" s="4" t="s">
        <v>22</v>
      </c>
      <c r="E8" s="4" t="s">
        <v>23</v>
      </c>
    </row>
    <row r="9" spans="1:5" x14ac:dyDescent="0.3">
      <c r="A9" s="12">
        <v>45937</v>
      </c>
      <c r="B9" s="4" t="s">
        <v>24</v>
      </c>
      <c r="C9" s="8">
        <v>4858</v>
      </c>
      <c r="D9" s="4" t="s">
        <v>29</v>
      </c>
      <c r="E9" s="4" t="s">
        <v>23</v>
      </c>
    </row>
    <row r="10" spans="1:5" x14ac:dyDescent="0.3">
      <c r="A10" s="12">
        <v>45938</v>
      </c>
      <c r="B10" s="4" t="s">
        <v>25</v>
      </c>
      <c r="C10" s="8">
        <v>3401</v>
      </c>
      <c r="D10" s="4" t="s">
        <v>29</v>
      </c>
      <c r="E10" s="4" t="s">
        <v>23</v>
      </c>
    </row>
    <row r="11" spans="1:5" x14ac:dyDescent="0.3">
      <c r="A11" s="12">
        <v>45939</v>
      </c>
      <c r="B11" s="4" t="s">
        <v>26</v>
      </c>
      <c r="C11" s="8">
        <v>5726</v>
      </c>
      <c r="D11" s="4" t="s">
        <v>29</v>
      </c>
      <c r="E11" s="4" t="s">
        <v>23</v>
      </c>
    </row>
    <row r="12" spans="1:5" x14ac:dyDescent="0.3">
      <c r="A12" s="12">
        <v>45940</v>
      </c>
      <c r="B12" s="4" t="s">
        <v>27</v>
      </c>
      <c r="C12" s="8">
        <v>7294</v>
      </c>
      <c r="D12" s="4" t="s">
        <v>29</v>
      </c>
      <c r="E12" s="4" t="s">
        <v>23</v>
      </c>
    </row>
    <row r="13" spans="1:5" x14ac:dyDescent="0.3">
      <c r="A13" s="12">
        <v>45941</v>
      </c>
      <c r="B13" s="4" t="s">
        <v>28</v>
      </c>
      <c r="C13" s="8">
        <v>7613</v>
      </c>
      <c r="D13" s="4" t="s">
        <v>29</v>
      </c>
      <c r="E13" s="4" t="s">
        <v>23</v>
      </c>
    </row>
    <row r="14" spans="1:5" x14ac:dyDescent="0.3">
      <c r="A14" s="12">
        <v>45942</v>
      </c>
      <c r="B14" s="4" t="s">
        <v>1</v>
      </c>
      <c r="C14" s="8">
        <v>8067</v>
      </c>
      <c r="D14" s="4" t="s">
        <v>29</v>
      </c>
      <c r="E14" s="4" t="s">
        <v>23</v>
      </c>
    </row>
    <row r="15" spans="1:5" x14ac:dyDescent="0.3">
      <c r="A15" s="12">
        <v>45943</v>
      </c>
      <c r="B15" s="4" t="s">
        <v>3</v>
      </c>
      <c r="C15" s="8">
        <v>5370</v>
      </c>
      <c r="D15" s="4" t="s">
        <v>30</v>
      </c>
      <c r="E15" s="4" t="s">
        <v>23</v>
      </c>
    </row>
    <row r="16" spans="1:5" x14ac:dyDescent="0.3">
      <c r="A16" s="12">
        <v>45944</v>
      </c>
      <c r="B16" s="4" t="s">
        <v>24</v>
      </c>
      <c r="C16" s="8">
        <v>3758</v>
      </c>
      <c r="D16" s="4" t="s">
        <v>30</v>
      </c>
      <c r="E16" s="4" t="s">
        <v>23</v>
      </c>
    </row>
    <row r="17" spans="1:7" x14ac:dyDescent="0.3">
      <c r="A17" s="12">
        <v>45945</v>
      </c>
      <c r="B17" s="4" t="s">
        <v>25</v>
      </c>
      <c r="C17" s="8">
        <v>5224</v>
      </c>
      <c r="D17" s="4" t="s">
        <v>30</v>
      </c>
      <c r="E17" s="4" t="s">
        <v>23</v>
      </c>
      <c r="G17" s="13"/>
    </row>
    <row r="18" spans="1:7" x14ac:dyDescent="0.3">
      <c r="A18" s="12">
        <v>45946</v>
      </c>
      <c r="B18" s="4" t="s">
        <v>26</v>
      </c>
      <c r="C18" s="8">
        <v>6376</v>
      </c>
      <c r="D18" s="4" t="s">
        <v>30</v>
      </c>
      <c r="E18" s="4" t="s">
        <v>23</v>
      </c>
    </row>
    <row r="19" spans="1:7" x14ac:dyDescent="0.3">
      <c r="A19" s="12">
        <v>45947</v>
      </c>
      <c r="B19" s="4" t="s">
        <v>27</v>
      </c>
      <c r="C19" s="8">
        <v>5989</v>
      </c>
      <c r="D19" s="4" t="s">
        <v>30</v>
      </c>
      <c r="E19" s="4" t="s">
        <v>23</v>
      </c>
    </row>
    <row r="20" spans="1:7" x14ac:dyDescent="0.3">
      <c r="A20" s="12">
        <v>45948</v>
      </c>
      <c r="B20" s="4" t="s">
        <v>28</v>
      </c>
      <c r="C20" s="8">
        <v>10523</v>
      </c>
      <c r="D20" s="4" t="s">
        <v>30</v>
      </c>
      <c r="E20" s="4" t="s">
        <v>23</v>
      </c>
    </row>
    <row r="21" spans="1:7" x14ac:dyDescent="0.3">
      <c r="A21" s="12">
        <v>45949</v>
      </c>
      <c r="B21" s="4" t="s">
        <v>1</v>
      </c>
      <c r="C21" s="8">
        <v>6196</v>
      </c>
      <c r="D21" s="4" t="s">
        <v>30</v>
      </c>
      <c r="E21" s="4" t="s">
        <v>23</v>
      </c>
    </row>
    <row r="22" spans="1:7" x14ac:dyDescent="0.3">
      <c r="A22" s="12">
        <v>45950</v>
      </c>
      <c r="B22" s="4" t="s">
        <v>3</v>
      </c>
      <c r="C22" s="8">
        <v>5112</v>
      </c>
      <c r="D22" s="4" t="s">
        <v>31</v>
      </c>
      <c r="E22" s="4" t="s">
        <v>23</v>
      </c>
    </row>
    <row r="23" spans="1:7" x14ac:dyDescent="0.3">
      <c r="A23" s="12">
        <v>45951</v>
      </c>
      <c r="B23" s="4" t="s">
        <v>24</v>
      </c>
      <c r="C23" s="8">
        <v>3876</v>
      </c>
      <c r="D23" s="4" t="s">
        <v>31</v>
      </c>
      <c r="E23" s="4" t="s">
        <v>23</v>
      </c>
    </row>
    <row r="24" spans="1:7" x14ac:dyDescent="0.3">
      <c r="A24" s="12">
        <v>45952</v>
      </c>
      <c r="B24" s="4" t="s">
        <v>25</v>
      </c>
      <c r="C24" s="8">
        <v>3607</v>
      </c>
      <c r="D24" s="4" t="s">
        <v>31</v>
      </c>
      <c r="E24" s="4" t="s">
        <v>23</v>
      </c>
    </row>
    <row r="25" spans="1:7" x14ac:dyDescent="0.3">
      <c r="A25" s="12">
        <v>45953</v>
      </c>
      <c r="B25" s="4" t="s">
        <v>26</v>
      </c>
      <c r="C25" s="8">
        <v>6858</v>
      </c>
      <c r="D25" s="4" t="s">
        <v>31</v>
      </c>
      <c r="E25" s="4" t="s">
        <v>23</v>
      </c>
    </row>
    <row r="26" spans="1:7" x14ac:dyDescent="0.3">
      <c r="A26" s="12">
        <v>45954</v>
      </c>
      <c r="B26" s="4" t="s">
        <v>27</v>
      </c>
      <c r="C26" s="8">
        <v>6944</v>
      </c>
      <c r="D26" s="4" t="s">
        <v>31</v>
      </c>
      <c r="E26" s="4" t="s">
        <v>23</v>
      </c>
    </row>
    <row r="27" spans="1:7" x14ac:dyDescent="0.3">
      <c r="A27" s="12">
        <v>45955</v>
      </c>
      <c r="B27" s="4" t="s">
        <v>28</v>
      </c>
      <c r="C27" s="8">
        <v>9855</v>
      </c>
      <c r="D27" s="4" t="s">
        <v>31</v>
      </c>
      <c r="E27" s="4" t="s">
        <v>23</v>
      </c>
    </row>
    <row r="28" spans="1:7" x14ac:dyDescent="0.3">
      <c r="A28" s="12">
        <v>45956</v>
      </c>
      <c r="B28" s="4" t="s">
        <v>1</v>
      </c>
      <c r="C28" s="8">
        <v>6873</v>
      </c>
      <c r="D28" s="4" t="s">
        <v>31</v>
      </c>
      <c r="E28" s="4" t="s">
        <v>23</v>
      </c>
    </row>
    <row r="29" spans="1:7" x14ac:dyDescent="0.3">
      <c r="A29" s="12">
        <v>45957</v>
      </c>
      <c r="B29" s="4" t="s">
        <v>3</v>
      </c>
      <c r="C29" s="8">
        <v>3316</v>
      </c>
      <c r="D29" s="4" t="s">
        <v>32</v>
      </c>
      <c r="E29" s="4" t="s">
        <v>23</v>
      </c>
    </row>
    <row r="30" spans="1:7" x14ac:dyDescent="0.3">
      <c r="A30" s="12">
        <v>45958</v>
      </c>
      <c r="B30" s="4" t="s">
        <v>24</v>
      </c>
      <c r="C30" s="8">
        <v>4314</v>
      </c>
      <c r="D30" s="4" t="s">
        <v>32</v>
      </c>
      <c r="E30" s="4" t="s">
        <v>23</v>
      </c>
    </row>
    <row r="31" spans="1:7" x14ac:dyDescent="0.3">
      <c r="A31" s="12">
        <v>45959</v>
      </c>
      <c r="B31" s="4" t="s">
        <v>25</v>
      </c>
      <c r="C31" s="8">
        <v>4405</v>
      </c>
      <c r="D31" s="4" t="s">
        <v>32</v>
      </c>
      <c r="E31" s="4" t="s">
        <v>23</v>
      </c>
    </row>
    <row r="32" spans="1:7" x14ac:dyDescent="0.3">
      <c r="A32" s="12">
        <v>45960</v>
      </c>
      <c r="B32" s="4" t="s">
        <v>26</v>
      </c>
      <c r="C32" s="8">
        <v>5971</v>
      </c>
      <c r="D32" s="4" t="s">
        <v>32</v>
      </c>
      <c r="E32" s="4" t="s">
        <v>23</v>
      </c>
    </row>
    <row r="33" spans="1:5" x14ac:dyDescent="0.3">
      <c r="A33" s="12">
        <v>45962</v>
      </c>
      <c r="B33" s="4" t="s">
        <v>28</v>
      </c>
      <c r="C33" s="8">
        <v>9464</v>
      </c>
      <c r="D33" s="4" t="s">
        <v>32</v>
      </c>
      <c r="E33" s="4" t="s">
        <v>23</v>
      </c>
    </row>
    <row r="34" spans="1:5" x14ac:dyDescent="0.3">
      <c r="A34" s="12">
        <v>45963</v>
      </c>
      <c r="B34" s="4" t="s">
        <v>1</v>
      </c>
      <c r="C34" s="8">
        <v>8948</v>
      </c>
      <c r="D34" s="4" t="s">
        <v>32</v>
      </c>
      <c r="E34" s="4" t="s">
        <v>23</v>
      </c>
    </row>
    <row r="35" spans="1:5" x14ac:dyDescent="0.3">
      <c r="A35" s="12">
        <v>45975</v>
      </c>
      <c r="B35" s="4" t="s">
        <v>27</v>
      </c>
      <c r="C35" s="8">
        <v>6247</v>
      </c>
      <c r="D35" s="4" t="s">
        <v>33</v>
      </c>
      <c r="E35" s="4" t="s">
        <v>34</v>
      </c>
    </row>
    <row r="36" spans="1:5" x14ac:dyDescent="0.3">
      <c r="A36" s="12">
        <v>45976</v>
      </c>
      <c r="B36" s="4" t="s">
        <v>28</v>
      </c>
      <c r="C36" s="8">
        <v>10574</v>
      </c>
      <c r="D36" s="4" t="s">
        <v>33</v>
      </c>
      <c r="E36" s="4" t="s">
        <v>34</v>
      </c>
    </row>
    <row r="37" spans="1:5" x14ac:dyDescent="0.3">
      <c r="A37" s="12">
        <v>45977</v>
      </c>
      <c r="B37" s="4" t="s">
        <v>1</v>
      </c>
      <c r="C37" s="8">
        <v>5890</v>
      </c>
      <c r="D37" s="4" t="s">
        <v>33</v>
      </c>
      <c r="E37" s="4" t="s">
        <v>34</v>
      </c>
    </row>
    <row r="38" spans="1:5" x14ac:dyDescent="0.3">
      <c r="A38" s="12">
        <v>45978</v>
      </c>
      <c r="B38" s="4" t="s">
        <v>3</v>
      </c>
      <c r="C38" s="8">
        <v>4586</v>
      </c>
      <c r="D38" s="4" t="s">
        <v>35</v>
      </c>
      <c r="E38" s="4" t="s">
        <v>23</v>
      </c>
    </row>
    <row r="39" spans="1:5" x14ac:dyDescent="0.3">
      <c r="A39" s="12">
        <v>45979</v>
      </c>
      <c r="B39" s="4" t="s">
        <v>24</v>
      </c>
      <c r="C39" s="8">
        <v>5299</v>
      </c>
      <c r="D39" s="4" t="s">
        <v>35</v>
      </c>
      <c r="E39" s="4" t="s">
        <v>23</v>
      </c>
    </row>
    <row r="40" spans="1:5" x14ac:dyDescent="0.3">
      <c r="A40" s="12">
        <v>45980</v>
      </c>
      <c r="B40" s="4" t="s">
        <v>25</v>
      </c>
      <c r="C40" s="8">
        <v>4160</v>
      </c>
      <c r="D40" s="4" t="s">
        <v>35</v>
      </c>
      <c r="E40" s="4" t="s">
        <v>23</v>
      </c>
    </row>
    <row r="41" spans="1:5" x14ac:dyDescent="0.3">
      <c r="A41" s="12">
        <v>45981</v>
      </c>
      <c r="B41" s="4" t="s">
        <v>26</v>
      </c>
      <c r="C41" s="8">
        <v>6457</v>
      </c>
      <c r="D41" s="4" t="s">
        <v>35</v>
      </c>
      <c r="E41" s="4" t="s">
        <v>23</v>
      </c>
    </row>
    <row r="42" spans="1:5" x14ac:dyDescent="0.3">
      <c r="A42" s="12">
        <v>45982</v>
      </c>
      <c r="B42" s="4" t="s">
        <v>27</v>
      </c>
      <c r="C42" s="8">
        <v>7881</v>
      </c>
      <c r="D42" s="4" t="s">
        <v>35</v>
      </c>
      <c r="E42" s="4" t="s">
        <v>23</v>
      </c>
    </row>
    <row r="43" spans="1:5" x14ac:dyDescent="0.3">
      <c r="A43" s="12">
        <v>45983</v>
      </c>
      <c r="B43" s="4" t="s">
        <v>28</v>
      </c>
      <c r="C43" s="8">
        <v>7040</v>
      </c>
      <c r="D43" s="4" t="s">
        <v>35</v>
      </c>
      <c r="E43" s="4" t="s">
        <v>23</v>
      </c>
    </row>
    <row r="44" spans="1:5" x14ac:dyDescent="0.3">
      <c r="A44" s="12">
        <v>45984</v>
      </c>
      <c r="B44" s="4" t="s">
        <v>1</v>
      </c>
      <c r="C44" s="8">
        <v>9291</v>
      </c>
      <c r="D44" s="4" t="s">
        <v>35</v>
      </c>
      <c r="E44" s="4" t="s">
        <v>23</v>
      </c>
    </row>
    <row r="45" spans="1:5" x14ac:dyDescent="0.3">
      <c r="A45" s="12">
        <v>45985</v>
      </c>
      <c r="B45" s="4" t="s">
        <v>3</v>
      </c>
      <c r="C45" s="8">
        <v>3429</v>
      </c>
      <c r="D45" s="4" t="s">
        <v>36</v>
      </c>
      <c r="E45" s="4" t="s">
        <v>23</v>
      </c>
    </row>
    <row r="46" spans="1:5" x14ac:dyDescent="0.3">
      <c r="A46" s="12">
        <v>45986</v>
      </c>
      <c r="B46" s="4" t="s">
        <v>24</v>
      </c>
      <c r="C46" s="8">
        <v>3303</v>
      </c>
      <c r="D46" s="4" t="s">
        <v>36</v>
      </c>
      <c r="E46" s="4" t="s">
        <v>23</v>
      </c>
    </row>
    <row r="47" spans="1:5" x14ac:dyDescent="0.3">
      <c r="A47" s="12">
        <v>45987</v>
      </c>
      <c r="B47" s="4" t="s">
        <v>25</v>
      </c>
      <c r="C47" s="8">
        <v>3518</v>
      </c>
      <c r="D47" s="4" t="s">
        <v>36</v>
      </c>
      <c r="E47" s="4" t="s">
        <v>23</v>
      </c>
    </row>
    <row r="48" spans="1:5" x14ac:dyDescent="0.3">
      <c r="A48" s="12">
        <v>45988</v>
      </c>
      <c r="B48" s="4" t="s">
        <v>26</v>
      </c>
      <c r="C48" s="8">
        <v>6111</v>
      </c>
      <c r="D48" s="4" t="s">
        <v>36</v>
      </c>
      <c r="E48" s="4" t="s">
        <v>23</v>
      </c>
    </row>
    <row r="49" spans="1:5" x14ac:dyDescent="0.3">
      <c r="A49" s="12">
        <v>45989</v>
      </c>
      <c r="B49" s="4" t="s">
        <v>27</v>
      </c>
      <c r="C49" s="8">
        <v>6278</v>
      </c>
      <c r="D49" s="4" t="s">
        <v>36</v>
      </c>
      <c r="E49" s="4" t="s">
        <v>23</v>
      </c>
    </row>
    <row r="50" spans="1:5" x14ac:dyDescent="0.3">
      <c r="A50" s="12">
        <v>45990</v>
      </c>
      <c r="B50" s="4" t="s">
        <v>28</v>
      </c>
      <c r="C50" s="8">
        <v>9137</v>
      </c>
      <c r="D50" s="4" t="s">
        <v>36</v>
      </c>
      <c r="E50" s="4" t="s">
        <v>23</v>
      </c>
    </row>
    <row r="51" spans="1:5" x14ac:dyDescent="0.3">
      <c r="A51" s="12">
        <v>45991</v>
      </c>
      <c r="B51" s="4" t="s">
        <v>1</v>
      </c>
      <c r="C51" s="8">
        <v>6253</v>
      </c>
      <c r="D51" s="4" t="s">
        <v>36</v>
      </c>
      <c r="E51" s="4" t="s">
        <v>23</v>
      </c>
    </row>
    <row r="52" spans="1:5" x14ac:dyDescent="0.3">
      <c r="A52" s="12">
        <v>45992</v>
      </c>
      <c r="B52" s="4" t="s">
        <v>3</v>
      </c>
      <c r="C52" s="8">
        <v>4623</v>
      </c>
      <c r="D52" s="4" t="s">
        <v>37</v>
      </c>
      <c r="E52" s="4" t="s">
        <v>23</v>
      </c>
    </row>
    <row r="53" spans="1:5" x14ac:dyDescent="0.3">
      <c r="A53" s="12">
        <v>45993</v>
      </c>
      <c r="B53" s="4" t="s">
        <v>24</v>
      </c>
      <c r="C53" s="8">
        <v>4147</v>
      </c>
      <c r="D53" s="4" t="s">
        <v>37</v>
      </c>
      <c r="E53" s="4" t="s">
        <v>23</v>
      </c>
    </row>
    <row r="54" spans="1:5" x14ac:dyDescent="0.3">
      <c r="A54" s="12">
        <v>45994</v>
      </c>
      <c r="B54" s="4" t="s">
        <v>25</v>
      </c>
      <c r="C54" s="8">
        <v>4263</v>
      </c>
      <c r="D54" s="4" t="s">
        <v>37</v>
      </c>
      <c r="E54" s="4" t="s">
        <v>23</v>
      </c>
    </row>
    <row r="55" spans="1:5" x14ac:dyDescent="0.3">
      <c r="A55" s="12">
        <v>45995</v>
      </c>
      <c r="B55" s="4" t="s">
        <v>26</v>
      </c>
      <c r="C55" s="8">
        <v>5343</v>
      </c>
      <c r="D55" s="4" t="s">
        <v>37</v>
      </c>
      <c r="E55" s="4" t="s">
        <v>23</v>
      </c>
    </row>
    <row r="56" spans="1:5" x14ac:dyDescent="0.3">
      <c r="A56" s="12">
        <v>45996</v>
      </c>
      <c r="B56" s="4" t="s">
        <v>27</v>
      </c>
      <c r="C56" s="8">
        <v>7375</v>
      </c>
      <c r="D56" s="4" t="s">
        <v>37</v>
      </c>
      <c r="E56" s="4" t="s">
        <v>23</v>
      </c>
    </row>
    <row r="57" spans="1:5" x14ac:dyDescent="0.3">
      <c r="A57" s="12">
        <v>45997</v>
      </c>
      <c r="B57" s="4" t="s">
        <v>28</v>
      </c>
      <c r="C57" s="8">
        <v>10568</v>
      </c>
      <c r="D57" s="4" t="s">
        <v>37</v>
      </c>
      <c r="E57" s="4" t="s">
        <v>23</v>
      </c>
    </row>
    <row r="58" spans="1:5" x14ac:dyDescent="0.3">
      <c r="A58" s="12">
        <v>45998</v>
      </c>
      <c r="B58" s="4" t="s">
        <v>1</v>
      </c>
      <c r="C58" s="8">
        <v>6449</v>
      </c>
      <c r="D58" s="4" t="s">
        <v>37</v>
      </c>
      <c r="E58" s="4" t="s">
        <v>23</v>
      </c>
    </row>
    <row r="59" spans="1:5" x14ac:dyDescent="0.3">
      <c r="A59" s="12">
        <v>45999</v>
      </c>
      <c r="B59" s="4" t="s">
        <v>3</v>
      </c>
      <c r="C59" s="8">
        <v>4360</v>
      </c>
      <c r="D59" s="4" t="s">
        <v>38</v>
      </c>
      <c r="E59" s="4" t="s">
        <v>23</v>
      </c>
    </row>
    <row r="60" spans="1:5" x14ac:dyDescent="0.3">
      <c r="A60" s="12">
        <v>46000</v>
      </c>
      <c r="B60" s="4" t="s">
        <v>24</v>
      </c>
      <c r="C60" s="8">
        <v>4222</v>
      </c>
      <c r="D60" s="4" t="s">
        <v>38</v>
      </c>
      <c r="E60" s="4" t="s">
        <v>23</v>
      </c>
    </row>
    <row r="61" spans="1:5" x14ac:dyDescent="0.3">
      <c r="A61" s="12">
        <v>46001</v>
      </c>
      <c r="B61" s="4" t="s">
        <v>25</v>
      </c>
      <c r="C61" s="8">
        <v>3811</v>
      </c>
      <c r="D61" s="4" t="s">
        <v>38</v>
      </c>
      <c r="E61" s="4" t="s">
        <v>23</v>
      </c>
    </row>
    <row r="62" spans="1:5" x14ac:dyDescent="0.3">
      <c r="A62" s="12">
        <v>46002</v>
      </c>
      <c r="B62" s="4" t="s">
        <v>26</v>
      </c>
      <c r="C62" s="8">
        <v>6887</v>
      </c>
      <c r="D62" s="4" t="s">
        <v>38</v>
      </c>
      <c r="E62" s="4" t="s">
        <v>23</v>
      </c>
    </row>
    <row r="63" spans="1:5" x14ac:dyDescent="0.3">
      <c r="A63" s="12">
        <v>46003</v>
      </c>
      <c r="B63" s="4" t="s">
        <v>27</v>
      </c>
      <c r="C63" s="8">
        <v>6981</v>
      </c>
      <c r="D63" s="4" t="s">
        <v>38</v>
      </c>
      <c r="E63" s="4" t="s">
        <v>23</v>
      </c>
    </row>
    <row r="64" spans="1:5" x14ac:dyDescent="0.3">
      <c r="A64" s="12">
        <v>46004</v>
      </c>
      <c r="B64" s="4" t="s">
        <v>28</v>
      </c>
      <c r="C64" s="8">
        <v>7664</v>
      </c>
      <c r="D64" s="4" t="s">
        <v>38</v>
      </c>
      <c r="E64" s="4" t="s">
        <v>23</v>
      </c>
    </row>
    <row r="65" spans="1:5" x14ac:dyDescent="0.3">
      <c r="A65" s="12">
        <v>46005</v>
      </c>
      <c r="B65" s="4" t="s">
        <v>1</v>
      </c>
      <c r="C65" s="8">
        <v>8895</v>
      </c>
      <c r="D65" s="4" t="s">
        <v>38</v>
      </c>
      <c r="E65" s="4" t="s">
        <v>23</v>
      </c>
    </row>
    <row r="66" spans="1:5" x14ac:dyDescent="0.3">
      <c r="A66" s="12">
        <v>46006</v>
      </c>
      <c r="B66" s="4" t="s">
        <v>3</v>
      </c>
      <c r="C66" s="8">
        <v>5359</v>
      </c>
      <c r="D66" s="4" t="s">
        <v>39</v>
      </c>
      <c r="E66" s="4" t="s">
        <v>23</v>
      </c>
    </row>
    <row r="67" spans="1:5" x14ac:dyDescent="0.3">
      <c r="A67" s="12">
        <v>46007</v>
      </c>
      <c r="B67" s="4" t="s">
        <v>24</v>
      </c>
      <c r="C67" s="8">
        <v>5364</v>
      </c>
      <c r="D67" s="4" t="s">
        <v>39</v>
      </c>
      <c r="E67" s="4" t="s">
        <v>23</v>
      </c>
    </row>
    <row r="68" spans="1:5" x14ac:dyDescent="0.3">
      <c r="A68" s="12">
        <v>46008</v>
      </c>
      <c r="B68" s="4" t="s">
        <v>25</v>
      </c>
      <c r="C68" s="8">
        <v>3670</v>
      </c>
      <c r="D68" s="4" t="s">
        <v>39</v>
      </c>
      <c r="E68" s="4" t="s">
        <v>23</v>
      </c>
    </row>
    <row r="69" spans="1:5" x14ac:dyDescent="0.3">
      <c r="A69" s="12">
        <v>46009</v>
      </c>
      <c r="B69" s="4" t="s">
        <v>26</v>
      </c>
      <c r="C69" s="8">
        <v>5545</v>
      </c>
      <c r="D69" s="4" t="s">
        <v>39</v>
      </c>
      <c r="E69" s="4" t="s">
        <v>23</v>
      </c>
    </row>
    <row r="70" spans="1:5" x14ac:dyDescent="0.3">
      <c r="A70" s="12">
        <v>46010</v>
      </c>
      <c r="B70" s="4" t="s">
        <v>27</v>
      </c>
      <c r="C70" s="8">
        <v>6405</v>
      </c>
      <c r="D70" s="4" t="s">
        <v>39</v>
      </c>
      <c r="E70" s="4" t="s">
        <v>23</v>
      </c>
    </row>
    <row r="71" spans="1:5" x14ac:dyDescent="0.3">
      <c r="A71" s="12">
        <v>46011</v>
      </c>
      <c r="B71" s="4" t="s">
        <v>28</v>
      </c>
      <c r="C71" s="8">
        <v>10938</v>
      </c>
      <c r="D71" s="4" t="s">
        <v>39</v>
      </c>
      <c r="E71" s="4" t="s">
        <v>23</v>
      </c>
    </row>
    <row r="72" spans="1:5" x14ac:dyDescent="0.3">
      <c r="A72" s="12">
        <v>46012</v>
      </c>
      <c r="B72" s="4" t="s">
        <v>1</v>
      </c>
      <c r="C72" s="8">
        <v>8659</v>
      </c>
      <c r="D72" s="4" t="s">
        <v>39</v>
      </c>
      <c r="E72" s="4" t="s">
        <v>23</v>
      </c>
    </row>
    <row r="73" spans="1:5" x14ac:dyDescent="0.3">
      <c r="A73" s="12">
        <v>46013</v>
      </c>
      <c r="B73" s="4" t="s">
        <v>3</v>
      </c>
      <c r="C73" s="8">
        <v>4574</v>
      </c>
      <c r="D73" s="4" t="s">
        <v>40</v>
      </c>
      <c r="E73" s="4" t="s">
        <v>23</v>
      </c>
    </row>
    <row r="74" spans="1:5" x14ac:dyDescent="0.3">
      <c r="A74" s="12">
        <v>46014</v>
      </c>
      <c r="B74" s="4" t="s">
        <v>24</v>
      </c>
      <c r="C74" s="8">
        <v>4735</v>
      </c>
      <c r="D74" s="4" t="s">
        <v>40</v>
      </c>
      <c r="E74" s="4" t="s">
        <v>23</v>
      </c>
    </row>
    <row r="75" spans="1:5" x14ac:dyDescent="0.3">
      <c r="A75" s="12">
        <v>46015</v>
      </c>
      <c r="B75" s="4" t="s">
        <v>25</v>
      </c>
      <c r="C75" s="8">
        <v>4778</v>
      </c>
      <c r="D75" s="4" t="s">
        <v>40</v>
      </c>
      <c r="E75" s="4" t="s">
        <v>23</v>
      </c>
    </row>
    <row r="76" spans="1:5" x14ac:dyDescent="0.3">
      <c r="A76" s="12">
        <v>46017</v>
      </c>
      <c r="B76" s="4" t="s">
        <v>27</v>
      </c>
      <c r="C76" s="8">
        <v>6907</v>
      </c>
      <c r="D76" s="4" t="s">
        <v>40</v>
      </c>
      <c r="E76" s="4" t="s">
        <v>23</v>
      </c>
    </row>
    <row r="77" spans="1:5" x14ac:dyDescent="0.3">
      <c r="A77" s="12">
        <v>46018</v>
      </c>
      <c r="B77" s="4" t="s">
        <v>28</v>
      </c>
      <c r="C77" s="8">
        <v>7783</v>
      </c>
      <c r="D77" s="4" t="s">
        <v>40</v>
      </c>
      <c r="E77" s="4" t="s">
        <v>23</v>
      </c>
    </row>
    <row r="78" spans="1:5" x14ac:dyDescent="0.3">
      <c r="A78" s="12">
        <v>46019</v>
      </c>
      <c r="B78" s="4" t="s">
        <v>1</v>
      </c>
      <c r="C78" s="8">
        <v>6987</v>
      </c>
      <c r="D78" s="4" t="s">
        <v>40</v>
      </c>
      <c r="E78" s="4" t="s">
        <v>23</v>
      </c>
    </row>
    <row r="79" spans="1:5" x14ac:dyDescent="0.3">
      <c r="A79" s="12">
        <v>46020</v>
      </c>
      <c r="B79" s="4" t="s">
        <v>3</v>
      </c>
      <c r="C79" s="8">
        <v>3269</v>
      </c>
      <c r="D79" s="4" t="s">
        <v>41</v>
      </c>
      <c r="E79" s="4" t="s">
        <v>23</v>
      </c>
    </row>
    <row r="80" spans="1:5" x14ac:dyDescent="0.3">
      <c r="A80" s="12">
        <v>46021</v>
      </c>
      <c r="B80" s="4" t="s">
        <v>24</v>
      </c>
      <c r="C80" s="8">
        <v>4050</v>
      </c>
      <c r="D80" s="4" t="s">
        <v>41</v>
      </c>
      <c r="E80" s="4" t="s">
        <v>23</v>
      </c>
    </row>
    <row r="81" spans="1:5" x14ac:dyDescent="0.3">
      <c r="A81" s="12">
        <v>46022</v>
      </c>
      <c r="B81" s="4" t="s">
        <v>25</v>
      </c>
      <c r="C81" s="8">
        <v>4899</v>
      </c>
      <c r="D81" s="4" t="s">
        <v>41</v>
      </c>
      <c r="E81" s="4" t="s">
        <v>23</v>
      </c>
    </row>
    <row r="82" spans="1:5" x14ac:dyDescent="0.3">
      <c r="A82" s="12">
        <v>46023</v>
      </c>
      <c r="B82" s="4" t="s">
        <v>26</v>
      </c>
      <c r="C82" s="8">
        <v>6821</v>
      </c>
      <c r="D82" s="4" t="s">
        <v>41</v>
      </c>
      <c r="E82" s="4" t="s">
        <v>23</v>
      </c>
    </row>
    <row r="83" spans="1:5" x14ac:dyDescent="0.3">
      <c r="A83" s="12">
        <v>46024</v>
      </c>
      <c r="B83" s="4" t="s">
        <v>27</v>
      </c>
      <c r="C83" s="8">
        <v>7173</v>
      </c>
      <c r="D83" s="4" t="s">
        <v>41</v>
      </c>
      <c r="E83" s="4" t="s">
        <v>23</v>
      </c>
    </row>
    <row r="84" spans="1:5" x14ac:dyDescent="0.3">
      <c r="A84" s="12">
        <v>46025</v>
      </c>
      <c r="B84" s="4" t="s">
        <v>28</v>
      </c>
      <c r="C84" s="8">
        <v>10090</v>
      </c>
      <c r="D84" s="4" t="s">
        <v>41</v>
      </c>
      <c r="E84" s="4" t="s">
        <v>23</v>
      </c>
    </row>
    <row r="85" spans="1:5" x14ac:dyDescent="0.3">
      <c r="A85" s="12">
        <v>46026</v>
      </c>
      <c r="B85" s="4" t="s">
        <v>1</v>
      </c>
      <c r="C85" s="8">
        <v>6630</v>
      </c>
      <c r="D85" s="4" t="s">
        <v>41</v>
      </c>
      <c r="E85" s="4" t="s">
        <v>23</v>
      </c>
    </row>
    <row r="86" spans="1:5" x14ac:dyDescent="0.3">
      <c r="A86" s="12">
        <v>46027</v>
      </c>
      <c r="B86" s="4" t="s">
        <v>3</v>
      </c>
      <c r="C86" s="8">
        <v>3257</v>
      </c>
      <c r="D86" s="4" t="s">
        <v>42</v>
      </c>
      <c r="E86" s="4" t="s">
        <v>23</v>
      </c>
    </row>
    <row r="87" spans="1:5" x14ac:dyDescent="0.3">
      <c r="A87" s="12">
        <v>46028</v>
      </c>
      <c r="B87" s="4" t="s">
        <v>24</v>
      </c>
      <c r="C87" s="8">
        <v>3848</v>
      </c>
      <c r="D87" s="4" t="s">
        <v>42</v>
      </c>
      <c r="E87" s="4" t="s">
        <v>23</v>
      </c>
    </row>
    <row r="88" spans="1:5" x14ac:dyDescent="0.3">
      <c r="A88" s="12">
        <v>46029</v>
      </c>
      <c r="B88" s="4" t="s">
        <v>25</v>
      </c>
      <c r="C88" s="8">
        <v>5656</v>
      </c>
      <c r="D88" s="4" t="s">
        <v>42</v>
      </c>
      <c r="E88" s="4" t="s">
        <v>23</v>
      </c>
    </row>
    <row r="89" spans="1:5" x14ac:dyDescent="0.3">
      <c r="A89" s="12">
        <v>46030</v>
      </c>
      <c r="B89" s="4" t="s">
        <v>26</v>
      </c>
      <c r="C89" s="8">
        <v>6167</v>
      </c>
      <c r="D89" s="4" t="s">
        <v>42</v>
      </c>
      <c r="E89" s="4" t="s">
        <v>23</v>
      </c>
    </row>
    <row r="90" spans="1:5" x14ac:dyDescent="0.3">
      <c r="A90" s="12">
        <v>46031</v>
      </c>
      <c r="B90" s="4" t="s">
        <v>27</v>
      </c>
      <c r="C90" s="8">
        <v>6874</v>
      </c>
      <c r="D90" s="4" t="s">
        <v>42</v>
      </c>
      <c r="E90" s="4" t="s">
        <v>23</v>
      </c>
    </row>
    <row r="91" spans="1:5" x14ac:dyDescent="0.3">
      <c r="A91" s="12">
        <v>46032</v>
      </c>
      <c r="B91" s="4" t="s">
        <v>28</v>
      </c>
      <c r="C91" s="8">
        <v>6521</v>
      </c>
      <c r="D91" s="4" t="s">
        <v>42</v>
      </c>
      <c r="E91" s="4" t="s">
        <v>23</v>
      </c>
    </row>
    <row r="92" spans="1:5" x14ac:dyDescent="0.3">
      <c r="A92" s="12">
        <v>46033</v>
      </c>
      <c r="B92" s="4" t="s">
        <v>1</v>
      </c>
      <c r="C92" s="8">
        <v>9294</v>
      </c>
      <c r="D92" s="4" t="s">
        <v>42</v>
      </c>
      <c r="E92" s="4" t="s">
        <v>23</v>
      </c>
    </row>
    <row r="93" spans="1:5" x14ac:dyDescent="0.3">
      <c r="A93" s="12">
        <v>46034</v>
      </c>
      <c r="B93" s="4" t="s">
        <v>3</v>
      </c>
      <c r="C93" s="8">
        <v>4348</v>
      </c>
      <c r="D93" s="4" t="s">
        <v>43</v>
      </c>
      <c r="E93" s="4" t="s">
        <v>23</v>
      </c>
    </row>
    <row r="94" spans="1:5" x14ac:dyDescent="0.3">
      <c r="A94" s="12">
        <v>46035</v>
      </c>
      <c r="B94" s="4" t="s">
        <v>24</v>
      </c>
      <c r="C94" s="8">
        <v>4790</v>
      </c>
      <c r="D94" s="4" t="s">
        <v>43</v>
      </c>
      <c r="E94" s="4" t="s">
        <v>23</v>
      </c>
    </row>
    <row r="95" spans="1:5" x14ac:dyDescent="0.3">
      <c r="A95" s="12">
        <v>46036</v>
      </c>
      <c r="B95" s="4" t="s">
        <v>25</v>
      </c>
      <c r="C95" s="8">
        <v>3418</v>
      </c>
      <c r="D95" s="4" t="s">
        <v>43</v>
      </c>
      <c r="E95" s="4" t="s">
        <v>23</v>
      </c>
    </row>
    <row r="96" spans="1:5" x14ac:dyDescent="0.3">
      <c r="A96" s="12">
        <v>46037</v>
      </c>
      <c r="B96" s="4" t="s">
        <v>26</v>
      </c>
      <c r="C96" s="8">
        <v>5858</v>
      </c>
      <c r="D96" s="4" t="s">
        <v>43</v>
      </c>
      <c r="E96" s="4" t="s">
        <v>23</v>
      </c>
    </row>
    <row r="97" spans="1:5" x14ac:dyDescent="0.3">
      <c r="A97" s="12">
        <v>46038</v>
      </c>
      <c r="B97" s="4" t="s">
        <v>27</v>
      </c>
      <c r="C97" s="8">
        <v>8608</v>
      </c>
      <c r="D97" s="4" t="s">
        <v>43</v>
      </c>
      <c r="E97" s="4" t="s">
        <v>23</v>
      </c>
    </row>
    <row r="98" spans="1:5" x14ac:dyDescent="0.3">
      <c r="A98" s="12">
        <v>46039</v>
      </c>
      <c r="B98" s="4" t="s">
        <v>28</v>
      </c>
      <c r="C98" s="8">
        <v>10027</v>
      </c>
      <c r="D98" s="4" t="s">
        <v>43</v>
      </c>
      <c r="E98" s="4" t="s">
        <v>23</v>
      </c>
    </row>
    <row r="99" spans="1:5" x14ac:dyDescent="0.3">
      <c r="A99" s="12">
        <v>46040</v>
      </c>
      <c r="B99" s="4" t="s">
        <v>1</v>
      </c>
      <c r="C99" s="8">
        <v>7955</v>
      </c>
      <c r="D99" s="4" t="s">
        <v>43</v>
      </c>
      <c r="E99" s="4" t="s">
        <v>23</v>
      </c>
    </row>
    <row r="100" spans="1:5" x14ac:dyDescent="0.3">
      <c r="A100" s="12">
        <v>46041</v>
      </c>
      <c r="B100" s="4" t="s">
        <v>3</v>
      </c>
      <c r="C100" s="8">
        <v>4114</v>
      </c>
      <c r="D100" s="4" t="s">
        <v>44</v>
      </c>
      <c r="E100" s="4" t="s">
        <v>23</v>
      </c>
    </row>
    <row r="101" spans="1:5" x14ac:dyDescent="0.3">
      <c r="A101" s="12">
        <v>46042</v>
      </c>
      <c r="B101" s="4" t="s">
        <v>24</v>
      </c>
      <c r="C101" s="8">
        <v>3798</v>
      </c>
      <c r="D101" s="4" t="s">
        <v>44</v>
      </c>
      <c r="E101" s="4" t="s">
        <v>23</v>
      </c>
    </row>
    <row r="102" spans="1:5" x14ac:dyDescent="0.3">
      <c r="A102" s="12">
        <v>46043</v>
      </c>
      <c r="B102" s="4" t="s">
        <v>25</v>
      </c>
      <c r="C102" s="8">
        <v>3711</v>
      </c>
      <c r="D102" s="4" t="s">
        <v>44</v>
      </c>
      <c r="E102" s="4" t="s">
        <v>23</v>
      </c>
    </row>
    <row r="103" spans="1:5" x14ac:dyDescent="0.3">
      <c r="A103" s="12">
        <v>46044</v>
      </c>
      <c r="B103" s="4" t="s">
        <v>26</v>
      </c>
      <c r="C103" s="8">
        <v>4159</v>
      </c>
      <c r="D103" s="4" t="s">
        <v>44</v>
      </c>
      <c r="E103" s="4" t="s">
        <v>23</v>
      </c>
    </row>
    <row r="104" spans="1:5" x14ac:dyDescent="0.3">
      <c r="A104" s="12">
        <v>46045</v>
      </c>
      <c r="B104" s="4" t="s">
        <v>27</v>
      </c>
      <c r="C104" s="8">
        <v>6761</v>
      </c>
      <c r="D104" s="4" t="s">
        <v>44</v>
      </c>
      <c r="E104" s="4" t="s">
        <v>23</v>
      </c>
    </row>
    <row r="105" spans="1:5" x14ac:dyDescent="0.3">
      <c r="A105" s="12">
        <v>46046</v>
      </c>
      <c r="B105" s="4" t="s">
        <v>28</v>
      </c>
      <c r="C105" s="8">
        <v>10269</v>
      </c>
      <c r="D105" s="4" t="s">
        <v>44</v>
      </c>
      <c r="E105" s="4" t="s">
        <v>23</v>
      </c>
    </row>
    <row r="106" spans="1:5" x14ac:dyDescent="0.3">
      <c r="A106" s="12">
        <v>46047</v>
      </c>
      <c r="B106" s="4" t="s">
        <v>1</v>
      </c>
      <c r="C106" s="8">
        <v>6701</v>
      </c>
      <c r="D106" s="4" t="s">
        <v>44</v>
      </c>
      <c r="E106" s="4" t="s">
        <v>23</v>
      </c>
    </row>
    <row r="107" spans="1:5" x14ac:dyDescent="0.3">
      <c r="A107" s="12">
        <v>46048</v>
      </c>
      <c r="B107" s="4" t="s">
        <v>3</v>
      </c>
      <c r="C107" s="8">
        <v>3708</v>
      </c>
      <c r="D107" s="4" t="s">
        <v>45</v>
      </c>
      <c r="E107" s="4" t="s">
        <v>23</v>
      </c>
    </row>
    <row r="108" spans="1:5" x14ac:dyDescent="0.3">
      <c r="A108" s="12">
        <v>46049</v>
      </c>
      <c r="B108" s="4" t="s">
        <v>24</v>
      </c>
      <c r="C108" s="8">
        <v>5329</v>
      </c>
      <c r="D108" s="4" t="s">
        <v>45</v>
      </c>
      <c r="E108" s="4" t="s">
        <v>23</v>
      </c>
    </row>
    <row r="109" spans="1:5" x14ac:dyDescent="0.3">
      <c r="A109" s="12">
        <v>46050</v>
      </c>
      <c r="B109" s="4" t="s">
        <v>25</v>
      </c>
      <c r="C109" s="8">
        <v>4130</v>
      </c>
      <c r="D109" s="4" t="s">
        <v>45</v>
      </c>
      <c r="E109" s="4" t="s">
        <v>23</v>
      </c>
    </row>
    <row r="110" spans="1:5" x14ac:dyDescent="0.3">
      <c r="A110" s="12">
        <v>46051</v>
      </c>
      <c r="B110" s="4" t="s">
        <v>26</v>
      </c>
      <c r="C110" s="8">
        <v>6272</v>
      </c>
      <c r="D110" s="4" t="s">
        <v>45</v>
      </c>
      <c r="E110" s="4" t="s">
        <v>23</v>
      </c>
    </row>
    <row r="111" spans="1:5" x14ac:dyDescent="0.3">
      <c r="A111" s="12">
        <v>46052</v>
      </c>
      <c r="B111" s="4" t="s">
        <v>27</v>
      </c>
      <c r="C111" s="8">
        <v>6735</v>
      </c>
      <c r="D111" s="4" t="s">
        <v>45</v>
      </c>
      <c r="E111" s="4" t="s">
        <v>23</v>
      </c>
    </row>
    <row r="112" spans="1:5" x14ac:dyDescent="0.3">
      <c r="A112" s="12">
        <v>46053</v>
      </c>
      <c r="B112" s="4" t="s">
        <v>28</v>
      </c>
      <c r="C112" s="8">
        <v>10086</v>
      </c>
      <c r="D112" s="4" t="s">
        <v>45</v>
      </c>
      <c r="E112" s="4" t="s">
        <v>23</v>
      </c>
    </row>
    <row r="113" spans="1:5" x14ac:dyDescent="0.3">
      <c r="A113" s="12">
        <v>46054</v>
      </c>
      <c r="B113" s="4" t="s">
        <v>1</v>
      </c>
      <c r="C113" s="8">
        <v>5964</v>
      </c>
      <c r="D113" s="4" t="s">
        <v>45</v>
      </c>
      <c r="E113" s="4" t="s">
        <v>23</v>
      </c>
    </row>
    <row r="114" spans="1:5" x14ac:dyDescent="0.3">
      <c r="A114" s="12">
        <v>46055</v>
      </c>
      <c r="B114" s="4" t="s">
        <v>3</v>
      </c>
      <c r="C114" s="8">
        <v>3168</v>
      </c>
      <c r="D114" s="4" t="s">
        <v>46</v>
      </c>
      <c r="E114" s="4" t="s">
        <v>23</v>
      </c>
    </row>
    <row r="115" spans="1:5" x14ac:dyDescent="0.3">
      <c r="A115" s="12">
        <v>46056</v>
      </c>
      <c r="B115" s="4" t="s">
        <v>24</v>
      </c>
      <c r="C115" s="8">
        <v>5348</v>
      </c>
      <c r="D115" s="4" t="s">
        <v>46</v>
      </c>
      <c r="E115" s="4" t="s">
        <v>23</v>
      </c>
    </row>
    <row r="116" spans="1:5" x14ac:dyDescent="0.3">
      <c r="A116" s="12">
        <v>46057</v>
      </c>
      <c r="B116" s="4" t="s">
        <v>25</v>
      </c>
      <c r="C116" s="8">
        <v>3394</v>
      </c>
      <c r="D116" s="4" t="s">
        <v>46</v>
      </c>
      <c r="E116" s="4" t="s">
        <v>23</v>
      </c>
    </row>
    <row r="117" spans="1:5" x14ac:dyDescent="0.3">
      <c r="A117" s="12">
        <v>46058</v>
      </c>
      <c r="B117" s="4" t="s">
        <v>26</v>
      </c>
      <c r="C117" s="8">
        <v>5136</v>
      </c>
      <c r="D117" s="4" t="s">
        <v>46</v>
      </c>
      <c r="E117" s="4" t="s">
        <v>23</v>
      </c>
    </row>
    <row r="118" spans="1:5" x14ac:dyDescent="0.3">
      <c r="A118" s="12">
        <v>46059</v>
      </c>
      <c r="B118" s="4" t="s">
        <v>27</v>
      </c>
      <c r="C118" s="8">
        <v>8085</v>
      </c>
      <c r="D118" s="4" t="s">
        <v>46</v>
      </c>
      <c r="E118" s="4" t="s">
        <v>23</v>
      </c>
    </row>
    <row r="119" spans="1:5" x14ac:dyDescent="0.3">
      <c r="A119" s="12">
        <v>46060</v>
      </c>
      <c r="B119" s="4" t="s">
        <v>28</v>
      </c>
      <c r="C119" s="8">
        <v>10302</v>
      </c>
      <c r="D119" s="4" t="s">
        <v>46</v>
      </c>
      <c r="E119" s="4" t="s">
        <v>23</v>
      </c>
    </row>
    <row r="120" spans="1:5" x14ac:dyDescent="0.3">
      <c r="A120" s="12">
        <v>46061</v>
      </c>
      <c r="B120" s="4" t="s">
        <v>1</v>
      </c>
      <c r="C120" s="8">
        <v>5453</v>
      </c>
      <c r="D120" s="4" t="s">
        <v>46</v>
      </c>
      <c r="E120" s="4" t="s">
        <v>23</v>
      </c>
    </row>
    <row r="121" spans="1:5" x14ac:dyDescent="0.3">
      <c r="A121" s="12">
        <v>46062</v>
      </c>
      <c r="B121" s="4" t="s">
        <v>3</v>
      </c>
      <c r="C121" s="8">
        <v>3918</v>
      </c>
      <c r="D121" s="4" t="s">
        <v>47</v>
      </c>
      <c r="E121" s="4" t="s">
        <v>23</v>
      </c>
    </row>
    <row r="122" spans="1:5" x14ac:dyDescent="0.3">
      <c r="A122" s="12">
        <v>46063</v>
      </c>
      <c r="B122" s="4" t="s">
        <v>24</v>
      </c>
      <c r="C122" s="8">
        <v>5128</v>
      </c>
      <c r="D122" s="4" t="s">
        <v>47</v>
      </c>
      <c r="E122" s="4" t="s">
        <v>23</v>
      </c>
    </row>
    <row r="123" spans="1:5" x14ac:dyDescent="0.3">
      <c r="A123" s="12">
        <v>46064</v>
      </c>
      <c r="B123" s="4" t="s">
        <v>25</v>
      </c>
      <c r="C123" s="8">
        <v>3986</v>
      </c>
      <c r="D123" s="4" t="s">
        <v>47</v>
      </c>
      <c r="E123" s="4" t="s">
        <v>23</v>
      </c>
    </row>
    <row r="124" spans="1:5" x14ac:dyDescent="0.3">
      <c r="A124" s="12">
        <v>46065</v>
      </c>
      <c r="B124" s="4" t="s">
        <v>26</v>
      </c>
      <c r="C124" s="8">
        <v>4387</v>
      </c>
      <c r="D124" s="4" t="s">
        <v>47</v>
      </c>
      <c r="E124" s="4" t="s">
        <v>23</v>
      </c>
    </row>
    <row r="125" spans="1:5" x14ac:dyDescent="0.3">
      <c r="A125" s="12">
        <v>46066</v>
      </c>
      <c r="B125" s="4" t="s">
        <v>27</v>
      </c>
      <c r="C125" s="8">
        <v>6524</v>
      </c>
      <c r="D125" s="4" t="s">
        <v>47</v>
      </c>
      <c r="E125" s="4" t="s">
        <v>23</v>
      </c>
    </row>
    <row r="126" spans="1:5" x14ac:dyDescent="0.3">
      <c r="A126" s="12">
        <v>46067</v>
      </c>
      <c r="B126" s="4" t="s">
        <v>28</v>
      </c>
      <c r="C126" s="8">
        <v>8990</v>
      </c>
      <c r="D126" s="4" t="s">
        <v>47</v>
      </c>
      <c r="E126" s="4" t="s">
        <v>23</v>
      </c>
    </row>
    <row r="127" spans="1:5" x14ac:dyDescent="0.3">
      <c r="A127" s="12">
        <v>46068</v>
      </c>
      <c r="B127" s="4" t="s">
        <v>1</v>
      </c>
      <c r="C127" s="8">
        <v>6901</v>
      </c>
      <c r="D127" s="4" t="s">
        <v>47</v>
      </c>
      <c r="E127" s="4" t="s">
        <v>23</v>
      </c>
    </row>
    <row r="128" spans="1:5" x14ac:dyDescent="0.3">
      <c r="A128" s="12">
        <v>46069</v>
      </c>
      <c r="B128" s="4" t="s">
        <v>3</v>
      </c>
      <c r="C128" s="8">
        <v>3752</v>
      </c>
      <c r="D128" s="4" t="s">
        <v>48</v>
      </c>
      <c r="E128" s="4" t="s">
        <v>23</v>
      </c>
    </row>
    <row r="129" spans="1:5" x14ac:dyDescent="0.3">
      <c r="A129" s="12">
        <v>46070</v>
      </c>
      <c r="B129" s="4" t="s">
        <v>24</v>
      </c>
      <c r="C129" s="8">
        <v>5428</v>
      </c>
      <c r="D129" s="4" t="s">
        <v>48</v>
      </c>
      <c r="E129" s="4" t="s">
        <v>23</v>
      </c>
    </row>
    <row r="130" spans="1:5" x14ac:dyDescent="0.3">
      <c r="A130" s="12">
        <v>46071</v>
      </c>
      <c r="B130" s="4" t="s">
        <v>25</v>
      </c>
      <c r="C130" s="8">
        <v>3375</v>
      </c>
      <c r="D130" s="4" t="s">
        <v>48</v>
      </c>
      <c r="E130" s="4" t="s">
        <v>23</v>
      </c>
    </row>
    <row r="131" spans="1:5" x14ac:dyDescent="0.3">
      <c r="A131" s="12">
        <v>46072</v>
      </c>
      <c r="B131" s="4" t="s">
        <v>26</v>
      </c>
      <c r="C131" s="8">
        <v>6696</v>
      </c>
      <c r="D131" s="4" t="s">
        <v>48</v>
      </c>
      <c r="E131" s="4" t="s">
        <v>23</v>
      </c>
    </row>
    <row r="132" spans="1:5" x14ac:dyDescent="0.3">
      <c r="A132" s="12">
        <v>46073</v>
      </c>
      <c r="B132" s="4" t="s">
        <v>27</v>
      </c>
      <c r="C132" s="8">
        <v>5854</v>
      </c>
      <c r="D132" s="4" t="s">
        <v>48</v>
      </c>
      <c r="E132" s="4" t="s">
        <v>23</v>
      </c>
    </row>
    <row r="133" spans="1:5" x14ac:dyDescent="0.3">
      <c r="A133" s="12">
        <v>46074</v>
      </c>
      <c r="B133" s="4" t="s">
        <v>28</v>
      </c>
      <c r="C133" s="8">
        <v>10039</v>
      </c>
      <c r="D133" s="4" t="s">
        <v>48</v>
      </c>
      <c r="E133" s="4" t="s">
        <v>23</v>
      </c>
    </row>
    <row r="134" spans="1:5" x14ac:dyDescent="0.3">
      <c r="A134" s="12">
        <v>46075</v>
      </c>
      <c r="B134" s="4" t="s">
        <v>1</v>
      </c>
      <c r="C134" s="8">
        <v>7407</v>
      </c>
      <c r="D134" s="4" t="s">
        <v>48</v>
      </c>
      <c r="E134" s="4" t="s">
        <v>23</v>
      </c>
    </row>
    <row r="135" spans="1:5" x14ac:dyDescent="0.3">
      <c r="A135" s="12">
        <v>46076</v>
      </c>
      <c r="B135" s="4" t="s">
        <v>3</v>
      </c>
      <c r="C135" s="8">
        <v>5105</v>
      </c>
      <c r="D135" s="4" t="s">
        <v>49</v>
      </c>
      <c r="E135" s="4" t="s">
        <v>23</v>
      </c>
    </row>
    <row r="136" spans="1:5" x14ac:dyDescent="0.3">
      <c r="A136" s="12">
        <v>46077</v>
      </c>
      <c r="B136" s="4" t="s">
        <v>24</v>
      </c>
      <c r="C136" s="8">
        <v>3368</v>
      </c>
      <c r="D136" s="4" t="s">
        <v>49</v>
      </c>
      <c r="E136" s="4" t="s">
        <v>23</v>
      </c>
    </row>
    <row r="137" spans="1:5" x14ac:dyDescent="0.3">
      <c r="A137" s="12">
        <v>46078</v>
      </c>
      <c r="B137" s="4" t="s">
        <v>25</v>
      </c>
      <c r="C137" s="8">
        <v>3943</v>
      </c>
      <c r="D137" s="4" t="s">
        <v>49</v>
      </c>
      <c r="E137" s="4" t="s">
        <v>23</v>
      </c>
    </row>
    <row r="138" spans="1:5" x14ac:dyDescent="0.3">
      <c r="A138" s="12">
        <v>46079</v>
      </c>
      <c r="B138" s="4" t="s">
        <v>26</v>
      </c>
      <c r="C138" s="8">
        <v>5614</v>
      </c>
      <c r="D138" s="4" t="s">
        <v>49</v>
      </c>
      <c r="E138" s="4" t="s">
        <v>23</v>
      </c>
    </row>
    <row r="139" spans="1:5" x14ac:dyDescent="0.3">
      <c r="A139" s="12">
        <v>46080</v>
      </c>
      <c r="B139" s="4" t="s">
        <v>27</v>
      </c>
      <c r="C139" s="8">
        <v>7951</v>
      </c>
      <c r="D139" s="4" t="s">
        <v>49</v>
      </c>
      <c r="E139" s="4" t="s">
        <v>23</v>
      </c>
    </row>
    <row r="140" spans="1:5" x14ac:dyDescent="0.3">
      <c r="A140" s="12">
        <v>46081</v>
      </c>
      <c r="B140" s="4" t="s">
        <v>28</v>
      </c>
      <c r="C140" s="8">
        <v>9969</v>
      </c>
      <c r="D140" s="4" t="s">
        <v>49</v>
      </c>
      <c r="E140" s="4" t="s">
        <v>23</v>
      </c>
    </row>
    <row r="141" spans="1:5" x14ac:dyDescent="0.3">
      <c r="A141" s="12">
        <v>46082</v>
      </c>
      <c r="B141" s="4" t="s">
        <v>1</v>
      </c>
      <c r="C141" s="8">
        <v>8590</v>
      </c>
      <c r="D141" s="4" t="s">
        <v>49</v>
      </c>
      <c r="E141" s="4" t="s">
        <v>23</v>
      </c>
    </row>
    <row r="142" spans="1:5" x14ac:dyDescent="0.3">
      <c r="A142" s="12">
        <v>46083</v>
      </c>
      <c r="B142" s="4" t="s">
        <v>3</v>
      </c>
      <c r="C142" s="8">
        <v>4360</v>
      </c>
      <c r="D142" s="4" t="s">
        <v>50</v>
      </c>
      <c r="E142" s="4" t="s">
        <v>23</v>
      </c>
    </row>
    <row r="143" spans="1:5" x14ac:dyDescent="0.3">
      <c r="A143" s="12">
        <v>46084</v>
      </c>
      <c r="B143" s="4" t="s">
        <v>24</v>
      </c>
      <c r="C143" s="8">
        <v>4251</v>
      </c>
      <c r="D143" s="4" t="s">
        <v>50</v>
      </c>
      <c r="E143" s="4" t="s">
        <v>23</v>
      </c>
    </row>
    <row r="144" spans="1:5" x14ac:dyDescent="0.3">
      <c r="A144" s="12">
        <v>46085</v>
      </c>
      <c r="B144" s="4" t="s">
        <v>25</v>
      </c>
      <c r="C144" s="8">
        <v>3803</v>
      </c>
      <c r="D144" s="4" t="s">
        <v>50</v>
      </c>
      <c r="E144" s="4" t="s">
        <v>23</v>
      </c>
    </row>
    <row r="145" spans="1:5" x14ac:dyDescent="0.3">
      <c r="A145" s="12">
        <v>46086</v>
      </c>
      <c r="B145" s="4" t="s">
        <v>26</v>
      </c>
      <c r="C145" s="8">
        <v>4668</v>
      </c>
      <c r="D145" s="4" t="s">
        <v>50</v>
      </c>
      <c r="E145" s="4" t="s">
        <v>23</v>
      </c>
    </row>
    <row r="146" spans="1:5" x14ac:dyDescent="0.3">
      <c r="A146" s="12">
        <v>46087</v>
      </c>
      <c r="B146" s="4" t="s">
        <v>27</v>
      </c>
      <c r="C146" s="8">
        <v>7271</v>
      </c>
      <c r="D146" s="4" t="s">
        <v>50</v>
      </c>
      <c r="E146" s="4" t="s">
        <v>23</v>
      </c>
    </row>
    <row r="147" spans="1:5" x14ac:dyDescent="0.3">
      <c r="A147" s="12">
        <v>46088</v>
      </c>
      <c r="B147" s="4" t="s">
        <v>28</v>
      </c>
      <c r="C147" s="8">
        <v>10466</v>
      </c>
      <c r="D147" s="4" t="s">
        <v>50</v>
      </c>
      <c r="E147" s="4" t="s">
        <v>23</v>
      </c>
    </row>
    <row r="148" spans="1:5" x14ac:dyDescent="0.3">
      <c r="A148" s="12">
        <v>46089</v>
      </c>
      <c r="B148" s="4" t="s">
        <v>1</v>
      </c>
      <c r="C148" s="8">
        <v>7526</v>
      </c>
      <c r="D148" s="4" t="s">
        <v>50</v>
      </c>
      <c r="E148" s="4" t="s">
        <v>23</v>
      </c>
    </row>
    <row r="149" spans="1:5" x14ac:dyDescent="0.3">
      <c r="A149" s="12">
        <v>46090</v>
      </c>
      <c r="B149" s="4" t="s">
        <v>3</v>
      </c>
      <c r="C149" s="8">
        <v>3838</v>
      </c>
      <c r="D149" s="4" t="s">
        <v>51</v>
      </c>
      <c r="E149" s="4" t="s">
        <v>23</v>
      </c>
    </row>
    <row r="150" spans="1:5" x14ac:dyDescent="0.3">
      <c r="A150" s="12">
        <v>46091</v>
      </c>
      <c r="B150" s="4" t="s">
        <v>24</v>
      </c>
      <c r="C150" s="8">
        <v>3138</v>
      </c>
      <c r="D150" s="4" t="s">
        <v>51</v>
      </c>
      <c r="E150" s="4" t="s">
        <v>23</v>
      </c>
    </row>
    <row r="151" spans="1:5" x14ac:dyDescent="0.3">
      <c r="A151" s="12">
        <v>46092</v>
      </c>
      <c r="B151" s="4" t="s">
        <v>25</v>
      </c>
      <c r="C151" s="8">
        <v>4536</v>
      </c>
      <c r="D151" s="4" t="s">
        <v>51</v>
      </c>
      <c r="E151" s="4" t="s">
        <v>23</v>
      </c>
    </row>
    <row r="152" spans="1:5" x14ac:dyDescent="0.3">
      <c r="A152" s="12">
        <v>46093</v>
      </c>
      <c r="B152" s="4" t="s">
        <v>26</v>
      </c>
      <c r="C152" s="8">
        <v>4393</v>
      </c>
      <c r="D152" s="4" t="s">
        <v>51</v>
      </c>
      <c r="E152" s="4" t="s">
        <v>23</v>
      </c>
    </row>
    <row r="153" spans="1:5" x14ac:dyDescent="0.3">
      <c r="A153" s="12">
        <v>46094</v>
      </c>
      <c r="B153" s="4" t="s">
        <v>27</v>
      </c>
      <c r="C153" s="8">
        <v>8845</v>
      </c>
      <c r="D153" s="4" t="s">
        <v>51</v>
      </c>
      <c r="E153" s="4" t="s">
        <v>23</v>
      </c>
    </row>
    <row r="154" spans="1:5" x14ac:dyDescent="0.3">
      <c r="A154" s="12">
        <v>46095</v>
      </c>
      <c r="B154" s="4" t="s">
        <v>28</v>
      </c>
      <c r="C154" s="8">
        <v>6694</v>
      </c>
      <c r="D154" s="4" t="s">
        <v>51</v>
      </c>
      <c r="E154" s="4" t="s">
        <v>23</v>
      </c>
    </row>
    <row r="155" spans="1:5" x14ac:dyDescent="0.3">
      <c r="A155" s="12">
        <v>46096</v>
      </c>
      <c r="B155" s="4" t="s">
        <v>1</v>
      </c>
      <c r="C155" s="8">
        <v>9483</v>
      </c>
      <c r="D155" s="4" t="s">
        <v>51</v>
      </c>
      <c r="E155" s="4" t="s">
        <v>23</v>
      </c>
    </row>
    <row r="156" spans="1:5" x14ac:dyDescent="0.3">
      <c r="A156" s="12">
        <v>46097</v>
      </c>
      <c r="B156" s="4" t="s">
        <v>3</v>
      </c>
      <c r="C156" s="8">
        <v>5062</v>
      </c>
      <c r="D156" s="4" t="s">
        <v>52</v>
      </c>
      <c r="E156" s="4" t="s">
        <v>23</v>
      </c>
    </row>
    <row r="157" spans="1:5" x14ac:dyDescent="0.3">
      <c r="A157" s="12">
        <v>46098</v>
      </c>
      <c r="B157" s="4" t="s">
        <v>24</v>
      </c>
      <c r="C157" s="8">
        <v>3583</v>
      </c>
      <c r="D157" s="4" t="s">
        <v>52</v>
      </c>
      <c r="E157" s="4" t="s">
        <v>23</v>
      </c>
    </row>
    <row r="158" spans="1:5" x14ac:dyDescent="0.3">
      <c r="A158" s="12">
        <v>46099</v>
      </c>
      <c r="B158" s="4" t="s">
        <v>25</v>
      </c>
      <c r="C158" s="8">
        <v>4482</v>
      </c>
      <c r="D158" s="4" t="s">
        <v>52</v>
      </c>
      <c r="E158" s="4" t="s">
        <v>23</v>
      </c>
    </row>
    <row r="159" spans="1:5" x14ac:dyDescent="0.3">
      <c r="A159" s="12">
        <v>46100</v>
      </c>
      <c r="B159" s="4" t="s">
        <v>26</v>
      </c>
      <c r="C159" s="8">
        <v>4311</v>
      </c>
      <c r="D159" s="4" t="s">
        <v>52</v>
      </c>
      <c r="E159" s="4" t="s">
        <v>23</v>
      </c>
    </row>
    <row r="160" spans="1:5" x14ac:dyDescent="0.3">
      <c r="A160" s="12">
        <v>46101</v>
      </c>
      <c r="B160" s="4" t="s">
        <v>27</v>
      </c>
      <c r="C160" s="8">
        <v>7051</v>
      </c>
      <c r="D160" s="4" t="s">
        <v>52</v>
      </c>
      <c r="E160" s="4" t="s">
        <v>23</v>
      </c>
    </row>
    <row r="161" spans="1:5" x14ac:dyDescent="0.3">
      <c r="A161" s="12">
        <v>46102</v>
      </c>
      <c r="B161" s="4" t="s">
        <v>28</v>
      </c>
      <c r="C161" s="8">
        <v>6800</v>
      </c>
      <c r="D161" s="4" t="s">
        <v>52</v>
      </c>
      <c r="E161" s="4" t="s">
        <v>23</v>
      </c>
    </row>
    <row r="162" spans="1:5" x14ac:dyDescent="0.3">
      <c r="A162" s="12">
        <v>46103</v>
      </c>
      <c r="B162" s="4" t="s">
        <v>1</v>
      </c>
      <c r="C162" s="8">
        <v>8488</v>
      </c>
      <c r="D162" s="4" t="s">
        <v>52</v>
      </c>
      <c r="E162" s="4" t="s">
        <v>23</v>
      </c>
    </row>
    <row r="163" spans="1:5" x14ac:dyDescent="0.3">
      <c r="A163" s="12">
        <v>46104</v>
      </c>
      <c r="B163" s="4" t="s">
        <v>3</v>
      </c>
      <c r="C163" s="8">
        <v>3163</v>
      </c>
      <c r="D163" s="4" t="s">
        <v>53</v>
      </c>
      <c r="E163" s="4" t="s">
        <v>23</v>
      </c>
    </row>
    <row r="164" spans="1:5" x14ac:dyDescent="0.3">
      <c r="A164" s="12">
        <v>46105</v>
      </c>
      <c r="B164" s="4" t="s">
        <v>24</v>
      </c>
      <c r="C164" s="8">
        <v>4092</v>
      </c>
      <c r="D164" s="4" t="s">
        <v>53</v>
      </c>
      <c r="E164" s="4" t="s">
        <v>23</v>
      </c>
    </row>
    <row r="165" spans="1:5" x14ac:dyDescent="0.3">
      <c r="A165" s="12">
        <v>46106</v>
      </c>
      <c r="B165" s="4" t="s">
        <v>25</v>
      </c>
      <c r="C165" s="8">
        <v>3732</v>
      </c>
      <c r="D165" s="4" t="s">
        <v>53</v>
      </c>
      <c r="E165" s="4" t="s">
        <v>23</v>
      </c>
    </row>
    <row r="166" spans="1:5" x14ac:dyDescent="0.3">
      <c r="A166" s="12">
        <v>46107</v>
      </c>
      <c r="B166" s="4" t="s">
        <v>26</v>
      </c>
      <c r="C166" s="8">
        <v>5329</v>
      </c>
      <c r="D166" s="4" t="s">
        <v>53</v>
      </c>
      <c r="E166" s="4" t="s">
        <v>23</v>
      </c>
    </row>
    <row r="167" spans="1:5" x14ac:dyDescent="0.3">
      <c r="A167" s="12">
        <v>46108</v>
      </c>
      <c r="B167" s="4" t="s">
        <v>27</v>
      </c>
      <c r="C167" s="8">
        <v>7096</v>
      </c>
      <c r="D167" s="4" t="s">
        <v>53</v>
      </c>
      <c r="E167" s="4" t="s">
        <v>23</v>
      </c>
    </row>
    <row r="168" spans="1:5" x14ac:dyDescent="0.3">
      <c r="A168" s="12">
        <v>46109</v>
      </c>
      <c r="B168" s="4" t="s">
        <v>28</v>
      </c>
      <c r="C168" s="8">
        <v>8275</v>
      </c>
      <c r="D168" s="4" t="s">
        <v>53</v>
      </c>
      <c r="E168" s="4" t="s">
        <v>23</v>
      </c>
    </row>
    <row r="169" spans="1:5" x14ac:dyDescent="0.3">
      <c r="A169" s="12">
        <v>46110</v>
      </c>
      <c r="B169" s="4" t="s">
        <v>1</v>
      </c>
      <c r="C169" s="8">
        <v>8097</v>
      </c>
      <c r="D169" s="4" t="s">
        <v>53</v>
      </c>
      <c r="E169" s="4" t="s">
        <v>23</v>
      </c>
    </row>
    <row r="170" spans="1:5" x14ac:dyDescent="0.3">
      <c r="A170" s="12">
        <v>46111</v>
      </c>
      <c r="B170" s="4" t="s">
        <v>3</v>
      </c>
      <c r="C170" s="8">
        <v>3357</v>
      </c>
      <c r="D170" s="4" t="s">
        <v>54</v>
      </c>
      <c r="E170" s="4" t="s">
        <v>23</v>
      </c>
    </row>
    <row r="171" spans="1:5" x14ac:dyDescent="0.3">
      <c r="A171" s="12">
        <v>46112</v>
      </c>
      <c r="B171" s="4" t="s">
        <v>24</v>
      </c>
      <c r="C171" s="8">
        <v>3370</v>
      </c>
      <c r="D171" s="4" t="s">
        <v>54</v>
      </c>
      <c r="E171" s="4" t="s">
        <v>23</v>
      </c>
    </row>
    <row r="172" spans="1:5" x14ac:dyDescent="0.3">
      <c r="A172" s="12">
        <v>46113</v>
      </c>
      <c r="B172" s="4" t="s">
        <v>25</v>
      </c>
      <c r="C172" s="8">
        <v>5558</v>
      </c>
      <c r="D172" s="4" t="s">
        <v>54</v>
      </c>
      <c r="E172" s="4" t="s">
        <v>23</v>
      </c>
    </row>
    <row r="173" spans="1:5" x14ac:dyDescent="0.3">
      <c r="A173" s="12">
        <v>46114</v>
      </c>
      <c r="B173" s="4" t="s">
        <v>26</v>
      </c>
      <c r="C173" s="8">
        <v>5698</v>
      </c>
      <c r="D173" s="4" t="s">
        <v>54</v>
      </c>
      <c r="E173" s="4" t="s">
        <v>23</v>
      </c>
    </row>
    <row r="174" spans="1:5" x14ac:dyDescent="0.3">
      <c r="A174" s="12">
        <v>46115</v>
      </c>
      <c r="B174" s="4" t="s">
        <v>27</v>
      </c>
      <c r="C174" s="8">
        <v>8946</v>
      </c>
      <c r="D174" s="4" t="s">
        <v>54</v>
      </c>
      <c r="E174" s="4" t="s">
        <v>23</v>
      </c>
    </row>
    <row r="175" spans="1:5" x14ac:dyDescent="0.3">
      <c r="A175" s="12">
        <v>46116</v>
      </c>
      <c r="B175" s="4" t="s">
        <v>28</v>
      </c>
      <c r="C175" s="8">
        <v>6593</v>
      </c>
      <c r="D175" s="4" t="s">
        <v>54</v>
      </c>
      <c r="E175" s="4" t="s">
        <v>23</v>
      </c>
    </row>
    <row r="176" spans="1:5" x14ac:dyDescent="0.3">
      <c r="A176" s="12">
        <v>46117</v>
      </c>
      <c r="B176" s="4" t="s">
        <v>1</v>
      </c>
      <c r="C176" s="8">
        <v>8089</v>
      </c>
      <c r="D176" s="4" t="s">
        <v>54</v>
      </c>
      <c r="E176" s="4" t="s">
        <v>23</v>
      </c>
    </row>
    <row r="177" spans="1:5" x14ac:dyDescent="0.3">
      <c r="A177" s="12">
        <v>46118</v>
      </c>
      <c r="B177" s="4" t="s">
        <v>3</v>
      </c>
      <c r="C177" s="8">
        <v>5182</v>
      </c>
      <c r="D177" s="4" t="s">
        <v>55</v>
      </c>
      <c r="E177" s="4" t="s">
        <v>23</v>
      </c>
    </row>
    <row r="178" spans="1:5" x14ac:dyDescent="0.3">
      <c r="A178" s="12">
        <v>46119</v>
      </c>
      <c r="B178" s="4" t="s">
        <v>24</v>
      </c>
      <c r="C178" s="8">
        <v>3832</v>
      </c>
      <c r="D178" s="4" t="s">
        <v>55</v>
      </c>
      <c r="E178" s="4" t="s">
        <v>23</v>
      </c>
    </row>
    <row r="179" spans="1:5" x14ac:dyDescent="0.3">
      <c r="A179" s="12">
        <v>46120</v>
      </c>
      <c r="B179" s="4" t="s">
        <v>25</v>
      </c>
      <c r="C179" s="8">
        <v>4485</v>
      </c>
      <c r="D179" s="4" t="s">
        <v>55</v>
      </c>
      <c r="E179" s="4" t="s">
        <v>23</v>
      </c>
    </row>
    <row r="180" spans="1:5" x14ac:dyDescent="0.3">
      <c r="A180" s="12">
        <v>46121</v>
      </c>
      <c r="B180" s="4" t="s">
        <v>26</v>
      </c>
      <c r="C180" s="8">
        <v>4500</v>
      </c>
      <c r="D180" s="4" t="s">
        <v>55</v>
      </c>
      <c r="E180" s="4" t="s">
        <v>23</v>
      </c>
    </row>
    <row r="181" spans="1:5" x14ac:dyDescent="0.3">
      <c r="A181" s="12">
        <v>46122</v>
      </c>
      <c r="B181" s="4" t="s">
        <v>27</v>
      </c>
      <c r="C181" s="8">
        <v>5593</v>
      </c>
      <c r="D181" s="4" t="s">
        <v>55</v>
      </c>
      <c r="E181" s="4" t="s">
        <v>23</v>
      </c>
    </row>
    <row r="182" spans="1:5" x14ac:dyDescent="0.3">
      <c r="A182" s="12">
        <v>46123</v>
      </c>
      <c r="B182" s="4" t="s">
        <v>28</v>
      </c>
      <c r="C182" s="8">
        <v>7686</v>
      </c>
      <c r="D182" s="4" t="s">
        <v>55</v>
      </c>
      <c r="E182" s="4" t="s">
        <v>23</v>
      </c>
    </row>
    <row r="183" spans="1:5" x14ac:dyDescent="0.3">
      <c r="A183" s="12">
        <v>46124</v>
      </c>
      <c r="B183" s="4" t="s">
        <v>1</v>
      </c>
      <c r="C183" s="8">
        <v>6110</v>
      </c>
      <c r="D183" s="4" t="s">
        <v>55</v>
      </c>
      <c r="E183" s="4" t="s">
        <v>23</v>
      </c>
    </row>
    <row r="184" spans="1:5" x14ac:dyDescent="0.3">
      <c r="A184" s="12">
        <v>46125</v>
      </c>
      <c r="B184" s="4" t="s">
        <v>3</v>
      </c>
      <c r="C184" s="8">
        <v>3426</v>
      </c>
      <c r="D184" s="4" t="s">
        <v>56</v>
      </c>
      <c r="E184" s="4" t="s">
        <v>23</v>
      </c>
    </row>
    <row r="185" spans="1:5" x14ac:dyDescent="0.3">
      <c r="A185" s="12">
        <v>46126</v>
      </c>
      <c r="B185" s="4" t="s">
        <v>24</v>
      </c>
      <c r="C185" s="8">
        <v>3355</v>
      </c>
      <c r="D185" s="4" t="s">
        <v>56</v>
      </c>
      <c r="E185" s="4" t="s">
        <v>23</v>
      </c>
    </row>
    <row r="186" spans="1:5" x14ac:dyDescent="0.3">
      <c r="A186" s="12">
        <v>46127</v>
      </c>
      <c r="B186" s="4" t="s">
        <v>25</v>
      </c>
      <c r="C186" s="8">
        <v>3267</v>
      </c>
      <c r="D186" s="4" t="s">
        <v>56</v>
      </c>
      <c r="E186" s="4" t="s">
        <v>23</v>
      </c>
    </row>
    <row r="187" spans="1:5" x14ac:dyDescent="0.3">
      <c r="A187" s="12">
        <v>46128</v>
      </c>
      <c r="B187" s="4" t="s">
        <v>26</v>
      </c>
      <c r="C187" s="8">
        <v>6480</v>
      </c>
      <c r="D187" s="4" t="s">
        <v>56</v>
      </c>
      <c r="E187" s="4" t="s">
        <v>23</v>
      </c>
    </row>
    <row r="188" spans="1:5" x14ac:dyDescent="0.3">
      <c r="A188" s="12">
        <v>46129</v>
      </c>
      <c r="B188" s="4" t="s">
        <v>27</v>
      </c>
      <c r="C188" s="8">
        <v>5978</v>
      </c>
      <c r="D188" s="4" t="s">
        <v>56</v>
      </c>
      <c r="E188" s="4" t="s">
        <v>23</v>
      </c>
    </row>
    <row r="189" spans="1:5" x14ac:dyDescent="0.3">
      <c r="A189" s="12">
        <v>46130</v>
      </c>
      <c r="B189" s="4" t="s">
        <v>28</v>
      </c>
      <c r="C189" s="8">
        <v>8319</v>
      </c>
      <c r="D189" s="4" t="s">
        <v>56</v>
      </c>
      <c r="E189" s="4" t="s">
        <v>23</v>
      </c>
    </row>
    <row r="190" spans="1:5" x14ac:dyDescent="0.3">
      <c r="A190" s="12">
        <v>46131</v>
      </c>
      <c r="B190" s="4" t="s">
        <v>1</v>
      </c>
      <c r="C190" s="8">
        <v>6750</v>
      </c>
      <c r="D190" s="4" t="s">
        <v>56</v>
      </c>
      <c r="E190" s="4" t="s">
        <v>23</v>
      </c>
    </row>
    <row r="191" spans="1:5" x14ac:dyDescent="0.3">
      <c r="A191" s="12">
        <v>46132</v>
      </c>
      <c r="B191" s="4" t="s">
        <v>3</v>
      </c>
      <c r="C191" s="8">
        <v>5129</v>
      </c>
      <c r="D191" s="4" t="s">
        <v>96</v>
      </c>
      <c r="E191" s="4" t="s">
        <v>23</v>
      </c>
    </row>
    <row r="192" spans="1:5" x14ac:dyDescent="0.3">
      <c r="A192" s="12">
        <v>46133</v>
      </c>
      <c r="B192" s="4" t="s">
        <v>24</v>
      </c>
      <c r="C192" s="8">
        <v>3566</v>
      </c>
      <c r="D192" s="4" t="s">
        <v>96</v>
      </c>
      <c r="E192" s="4" t="s">
        <v>23</v>
      </c>
    </row>
    <row r="193" spans="1:5" x14ac:dyDescent="0.3">
      <c r="A193" s="12">
        <v>46134</v>
      </c>
      <c r="B193" s="4" t="s">
        <v>25</v>
      </c>
      <c r="C193" s="8">
        <v>4475</v>
      </c>
      <c r="D193" s="4" t="s">
        <v>96</v>
      </c>
      <c r="E193" s="4" t="s">
        <v>23</v>
      </c>
    </row>
    <row r="194" spans="1:5" x14ac:dyDescent="0.3">
      <c r="A194" s="12">
        <v>46135</v>
      </c>
      <c r="B194" s="4" t="s">
        <v>26</v>
      </c>
      <c r="C194" s="8">
        <v>6289</v>
      </c>
      <c r="D194" s="4" t="s">
        <v>96</v>
      </c>
      <c r="E194" s="4" t="s">
        <v>23</v>
      </c>
    </row>
    <row r="195" spans="1:5" x14ac:dyDescent="0.3">
      <c r="A195" s="12">
        <v>46136</v>
      </c>
      <c r="B195" s="4" t="s">
        <v>27</v>
      </c>
      <c r="C195" s="8">
        <v>5708</v>
      </c>
      <c r="D195" s="4" t="s">
        <v>96</v>
      </c>
      <c r="E195" s="4" t="s">
        <v>23</v>
      </c>
    </row>
    <row r="196" spans="1:5" x14ac:dyDescent="0.3">
      <c r="A196" s="12">
        <v>46137</v>
      </c>
      <c r="B196" s="4" t="s">
        <v>28</v>
      </c>
      <c r="C196" s="8">
        <v>10992</v>
      </c>
      <c r="D196" s="4" t="s">
        <v>96</v>
      </c>
      <c r="E196" s="4" t="s">
        <v>23</v>
      </c>
    </row>
    <row r="197" spans="1:5" x14ac:dyDescent="0.3">
      <c r="A197" s="12">
        <v>46138</v>
      </c>
      <c r="B197" s="4" t="s">
        <v>1</v>
      </c>
      <c r="C197" s="8">
        <v>6490</v>
      </c>
      <c r="D197" s="4" t="s">
        <v>96</v>
      </c>
      <c r="E197" s="4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4297-9F18-4C01-B359-9CC5FC16EC67}">
  <sheetPr>
    <tabColor theme="4" tint="-0.249977111117893"/>
  </sheetPr>
  <dimension ref="A2:O20"/>
  <sheetViews>
    <sheetView workbookViewId="0">
      <selection activeCell="I28" sqref="I28"/>
    </sheetView>
  </sheetViews>
  <sheetFormatPr defaultColWidth="8.88671875" defaultRowHeight="14.4" x14ac:dyDescent="0.3"/>
  <cols>
    <col min="1" max="1" width="13.109375" style="6" bestFit="1" customWidth="1"/>
    <col min="2" max="2" width="13.33203125" style="6" customWidth="1"/>
    <col min="3" max="3" width="13.109375" style="6" bestFit="1" customWidth="1"/>
    <col min="4" max="4" width="8" style="6" customWidth="1"/>
    <col min="5" max="5" width="9.6640625" style="6" bestFit="1" customWidth="1"/>
    <col min="6" max="6" width="5.33203125" style="6" bestFit="1" customWidth="1"/>
    <col min="7" max="7" width="4.33203125" style="6" bestFit="1" customWidth="1"/>
    <col min="8" max="8" width="3.44140625" style="6" bestFit="1" customWidth="1"/>
    <col min="9" max="9" width="4" style="6" bestFit="1" customWidth="1"/>
    <col min="10" max="10" width="4.44140625" style="6" bestFit="1" customWidth="1"/>
    <col min="11" max="11" width="8.88671875" style="6"/>
    <col min="12" max="12" width="13.6640625" style="6" bestFit="1" customWidth="1"/>
    <col min="13" max="13" width="8.88671875" style="6"/>
    <col min="14" max="14" width="7.5546875" style="6" bestFit="1" customWidth="1"/>
    <col min="15" max="15" width="9.6640625" style="6" bestFit="1" customWidth="1"/>
    <col min="16" max="16384" width="8.88671875" style="6"/>
  </cols>
  <sheetData>
    <row r="2" spans="1:15" x14ac:dyDescent="0.3">
      <c r="B2" s="40"/>
      <c r="C2" s="40"/>
      <c r="E2" s="40"/>
    </row>
    <row r="3" spans="1:15" ht="28.8" x14ac:dyDescent="0.3">
      <c r="A3" s="41" t="s">
        <v>76</v>
      </c>
      <c r="C3" s="82" t="s">
        <v>77</v>
      </c>
      <c r="D3" s="82"/>
      <c r="E3" s="82"/>
      <c r="F3" s="82"/>
      <c r="G3" s="82"/>
      <c r="H3" s="82"/>
      <c r="I3" s="82"/>
      <c r="J3" s="82"/>
      <c r="L3" s="42" t="s">
        <v>78</v>
      </c>
      <c r="N3" s="43" t="s">
        <v>57</v>
      </c>
      <c r="O3" s="44" t="s">
        <v>79</v>
      </c>
    </row>
    <row r="4" spans="1:15" x14ac:dyDescent="0.3">
      <c r="A4" s="45" t="s">
        <v>3</v>
      </c>
      <c r="C4" s="43" t="s">
        <v>76</v>
      </c>
      <c r="D4" s="46" t="s">
        <v>59</v>
      </c>
      <c r="E4" s="46" t="s">
        <v>60</v>
      </c>
      <c r="F4" s="46" t="s">
        <v>61</v>
      </c>
      <c r="G4" s="46" t="s">
        <v>62</v>
      </c>
      <c r="H4" s="46" t="s">
        <v>63</v>
      </c>
      <c r="I4" s="46" t="s">
        <v>64</v>
      </c>
      <c r="J4" s="44" t="s">
        <v>65</v>
      </c>
      <c r="L4" s="45" t="s">
        <v>3</v>
      </c>
      <c r="N4" s="47" t="s">
        <v>73</v>
      </c>
      <c r="O4" s="48">
        <v>0.9</v>
      </c>
    </row>
    <row r="5" spans="1:15" x14ac:dyDescent="0.3">
      <c r="A5" s="45" t="s">
        <v>25</v>
      </c>
      <c r="C5" s="59" t="s">
        <v>3</v>
      </c>
      <c r="D5" s="49">
        <v>0</v>
      </c>
      <c r="E5" s="49">
        <v>1</v>
      </c>
      <c r="F5" s="49">
        <v>1</v>
      </c>
      <c r="G5" s="49">
        <v>0</v>
      </c>
      <c r="H5" s="49">
        <v>0</v>
      </c>
      <c r="I5" s="49">
        <v>0</v>
      </c>
      <c r="J5" s="48">
        <v>0</v>
      </c>
      <c r="L5" s="45" t="s">
        <v>24</v>
      </c>
      <c r="N5" s="47" t="s">
        <v>74</v>
      </c>
      <c r="O5" s="48">
        <v>1.05</v>
      </c>
    </row>
    <row r="6" spans="1:15" x14ac:dyDescent="0.3">
      <c r="A6" s="45" t="s">
        <v>27</v>
      </c>
      <c r="C6" s="59" t="s">
        <v>25</v>
      </c>
      <c r="D6" s="49">
        <v>0</v>
      </c>
      <c r="E6" s="49">
        <v>0</v>
      </c>
      <c r="F6" s="49">
        <v>0</v>
      </c>
      <c r="G6" s="49">
        <v>1</v>
      </c>
      <c r="H6" s="49">
        <v>1</v>
      </c>
      <c r="I6" s="49">
        <v>0</v>
      </c>
      <c r="J6" s="48">
        <v>0</v>
      </c>
      <c r="L6" s="45" t="s">
        <v>25</v>
      </c>
      <c r="N6" s="50" t="s">
        <v>75</v>
      </c>
      <c r="O6" s="51">
        <v>1.1499999999999999</v>
      </c>
    </row>
    <row r="7" spans="1:15" x14ac:dyDescent="0.3">
      <c r="A7" s="52" t="s">
        <v>28</v>
      </c>
      <c r="C7" s="59" t="s">
        <v>27</v>
      </c>
      <c r="D7" s="49">
        <v>1</v>
      </c>
      <c r="E7" s="49">
        <v>0</v>
      </c>
      <c r="F7" s="49">
        <v>0</v>
      </c>
      <c r="G7" s="49">
        <v>0</v>
      </c>
      <c r="H7" s="49">
        <v>0</v>
      </c>
      <c r="I7" s="49">
        <v>1</v>
      </c>
      <c r="J7" s="48">
        <v>1</v>
      </c>
      <c r="L7" s="45" t="s">
        <v>26</v>
      </c>
    </row>
    <row r="8" spans="1:15" x14ac:dyDescent="0.3">
      <c r="C8" s="60" t="s">
        <v>28</v>
      </c>
      <c r="D8" s="53">
        <v>1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1">
        <v>1</v>
      </c>
      <c r="L8" s="45" t="s">
        <v>27</v>
      </c>
    </row>
    <row r="9" spans="1:15" x14ac:dyDescent="0.3">
      <c r="L9" s="45" t="s">
        <v>28</v>
      </c>
    </row>
    <row r="10" spans="1:15" x14ac:dyDescent="0.3">
      <c r="L10" s="52" t="s">
        <v>1</v>
      </c>
    </row>
    <row r="11" spans="1:15" x14ac:dyDescent="0.3">
      <c r="C11" s="40"/>
      <c r="D11" s="40"/>
    </row>
    <row r="14" spans="1:15" x14ac:dyDescent="0.3">
      <c r="C14" s="54"/>
      <c r="D14" s="54"/>
    </row>
    <row r="17" spans="3:5" ht="28.8" x14ac:dyDescent="0.3">
      <c r="C17" s="43" t="s">
        <v>57</v>
      </c>
      <c r="D17" s="46" t="s">
        <v>80</v>
      </c>
      <c r="E17" s="44" t="s">
        <v>79</v>
      </c>
    </row>
    <row r="18" spans="3:5" x14ac:dyDescent="0.3">
      <c r="C18" s="47" t="s">
        <v>73</v>
      </c>
      <c r="D18" s="55">
        <v>0</v>
      </c>
      <c r="E18" s="56">
        <v>0.9</v>
      </c>
    </row>
    <row r="19" spans="3:5" x14ac:dyDescent="0.3">
      <c r="C19" s="47" t="s">
        <v>74</v>
      </c>
      <c r="D19" s="80">
        <v>0.91</v>
      </c>
      <c r="E19" s="56">
        <v>1.05</v>
      </c>
    </row>
    <row r="20" spans="3:5" x14ac:dyDescent="0.3">
      <c r="C20" s="50" t="s">
        <v>75</v>
      </c>
      <c r="D20" s="57">
        <v>1.06</v>
      </c>
      <c r="E20" s="58">
        <v>1.1499999999999999</v>
      </c>
    </row>
  </sheetData>
  <sheetProtection algorithmName="SHA-512" hashValue="k7CAFkGtUgGpIRIM1eOlsQhFfYXLIFRKNsTVVfuDCPtioeCKbVcgwOWhEZ2d1yvhGimSduwNh5Y64mdlK/yBxA==" saltValue="r+Q2tUpt+KfS3O3CRgLGuQ==" spinCount="100000" sheet="1"/>
  <protectedRanges>
    <protectedRange sqref="O4:O6" name="Range2"/>
    <protectedRange sqref="D5:J8" name="Range1"/>
  </protectedRanges>
  <mergeCells count="1">
    <mergeCell ref="C3:J3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5AF4-F442-4EFE-ABEF-5CF1708B11D9}">
  <sheetPr>
    <tabColor rgb="FFF86308"/>
  </sheetPr>
  <dimension ref="A2:K22"/>
  <sheetViews>
    <sheetView workbookViewId="0">
      <pane ySplit="2" topLeftCell="A3" activePane="bottomLeft" state="frozen"/>
      <selection pane="bottomLeft" activeCell="N19" sqref="N19"/>
    </sheetView>
  </sheetViews>
  <sheetFormatPr defaultColWidth="8.88671875" defaultRowHeight="14.4" x14ac:dyDescent="0.3"/>
  <cols>
    <col min="1" max="1" width="21.6640625" style="6" bestFit="1" customWidth="1"/>
    <col min="2" max="2" width="10.109375" style="6" bestFit="1" customWidth="1"/>
    <col min="3" max="3" width="8.88671875" style="6"/>
    <col min="4" max="4" width="18.88671875" style="6" bestFit="1" customWidth="1"/>
    <col min="5" max="5" width="15" style="6" bestFit="1" customWidth="1"/>
    <col min="6" max="7" width="14.6640625" style="6" bestFit="1" customWidth="1"/>
    <col min="8" max="8" width="18.88671875" style="6" bestFit="1" customWidth="1"/>
    <col min="9" max="16384" width="8.88671875" style="6"/>
  </cols>
  <sheetData>
    <row r="2" spans="1:11" x14ac:dyDescent="0.3">
      <c r="A2" s="83" t="s">
        <v>81</v>
      </c>
      <c r="B2" s="83"/>
      <c r="D2" s="16" t="s">
        <v>18</v>
      </c>
      <c r="E2" s="17" t="s">
        <v>82</v>
      </c>
      <c r="F2" s="17" t="s">
        <v>83</v>
      </c>
      <c r="G2" s="17" t="s">
        <v>84</v>
      </c>
      <c r="H2" s="18" t="s">
        <v>85</v>
      </c>
    </row>
    <row r="3" spans="1:11" x14ac:dyDescent="0.3">
      <c r="A3" s="19" t="s">
        <v>86</v>
      </c>
      <c r="B3" s="20">
        <v>46139</v>
      </c>
      <c r="D3" s="21" t="s">
        <v>3</v>
      </c>
      <c r="E3" s="22" cm="1">
        <f t="array" ref="E3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4600</v>
      </c>
      <c r="F3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4121.666666666667</v>
      </c>
      <c r="G3" s="24">
        <f>IF(ForecastTbl[[#This Row],[Baseline_Sales]]=0,1,ForecastTbl[[#This Row],[Forecast_Sales]]/ForecastTbl[[#This Row],[Baseline_Sales]])</f>
        <v>1.1160533764658309</v>
      </c>
      <c r="H3" s="25">
        <f>Forecast_Model!$E16</f>
        <v>1.1718560452891225</v>
      </c>
    </row>
    <row r="4" spans="1:11" x14ac:dyDescent="0.3">
      <c r="A4" s="19" t="s">
        <v>87</v>
      </c>
      <c r="B4" s="26">
        <f>B3+6</f>
        <v>46145</v>
      </c>
      <c r="D4" s="21" t="s">
        <v>24</v>
      </c>
      <c r="E4" s="22" cm="1">
        <f t="array" ref="E4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3600</v>
      </c>
      <c r="F4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4038.25</v>
      </c>
      <c r="G4" s="24">
        <f>IF(ForecastTbl[[#This Row],[Baseline_Sales]]=0,1,ForecastTbl[[#This Row],[Forecast_Sales]]/ForecastTbl[[#This Row],[Baseline_Sales]])</f>
        <v>0.89147526775212038</v>
      </c>
      <c r="H4" s="25">
        <f>Forecast_Model!$E17</f>
        <v>0.93604903113972648</v>
      </c>
    </row>
    <row r="5" spans="1:11" x14ac:dyDescent="0.3">
      <c r="A5" s="19" t="s">
        <v>88</v>
      </c>
      <c r="B5" s="27">
        <f>SUM(ForecastTbl[Forecast_Sales])</f>
        <v>39400</v>
      </c>
      <c r="D5" s="21" t="s">
        <v>25</v>
      </c>
      <c r="E5" s="22" cm="1">
        <f t="array" ref="E5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4100</v>
      </c>
      <c r="F5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4086.3333333333335</v>
      </c>
      <c r="G5" s="24">
        <f>IF(ForecastTbl[[#This Row],[Baseline_Sales]]=0,1,ForecastTbl[[#This Row],[Forecast_Sales]]/ForecastTbl[[#This Row],[Baseline_Sales]])</f>
        <v>1.0033444816053512</v>
      </c>
      <c r="H5" s="25">
        <f>Forecast_Model!$E18</f>
        <v>1.0535117056856187</v>
      </c>
    </row>
    <row r="6" spans="1:11" x14ac:dyDescent="0.3">
      <c r="A6" s="7"/>
      <c r="B6" s="4"/>
      <c r="D6" s="21" t="s">
        <v>26</v>
      </c>
      <c r="E6" s="22" cm="1">
        <f t="array" ref="E6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5800</v>
      </c>
      <c r="F6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5291.75</v>
      </c>
      <c r="G6" s="24">
        <f>IF(ForecastTbl[[#This Row],[Baseline_Sales]]=0,1,ForecastTbl[[#This Row],[Forecast_Sales]]/ForecastTbl[[#This Row],[Baseline_Sales]])</f>
        <v>1.0960457315632826</v>
      </c>
      <c r="H6" s="25">
        <f>Forecast_Model!$E19</f>
        <v>1.1508480181414467</v>
      </c>
    </row>
    <row r="7" spans="1:11" x14ac:dyDescent="0.3">
      <c r="A7" s="19" t="s">
        <v>89</v>
      </c>
      <c r="B7" s="27">
        <f>SUM(ForecastTbl[Forecast_Sales])</f>
        <v>39400</v>
      </c>
      <c r="D7" s="21" t="s">
        <v>27</v>
      </c>
      <c r="E7" s="22" cm="1">
        <f t="array" ref="E7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5800</v>
      </c>
      <c r="F7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7075.166666666667</v>
      </c>
      <c r="G7" s="24">
        <f>IF(ForecastTbl[[#This Row],[Baseline_Sales]]=0,1,ForecastTbl[[#This Row],[Forecast_Sales]]/ForecastTbl[[#This Row],[Baseline_Sales]])</f>
        <v>0.81976867447174384</v>
      </c>
      <c r="H7" s="25">
        <f>Forecast_Model!$E20</f>
        <v>0.86075710819533102</v>
      </c>
    </row>
    <row r="8" spans="1:11" x14ac:dyDescent="0.3">
      <c r="A8" s="19" t="s">
        <v>90</v>
      </c>
      <c r="B8" s="27">
        <f>B5-B7</f>
        <v>0</v>
      </c>
      <c r="D8" s="21" t="s">
        <v>28</v>
      </c>
      <c r="E8" s="22" cm="1">
        <f t="array" ref="E8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9000</v>
      </c>
      <c r="F8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8760.4166666666661</v>
      </c>
      <c r="G8" s="24">
        <f>IF(ForecastTbl[[#This Row],[Baseline_Sales]]=0,1,ForecastTbl[[#This Row],[Forecast_Sales]]/ForecastTbl[[#This Row],[Baseline_Sales]])</f>
        <v>1.0273483947681332</v>
      </c>
      <c r="H8" s="25">
        <f>Forecast_Model!$E21</f>
        <v>1.0787158145065399</v>
      </c>
    </row>
    <row r="9" spans="1:11" x14ac:dyDescent="0.3">
      <c r="D9" s="28" t="s">
        <v>1</v>
      </c>
      <c r="E9" s="22" cm="1">
        <f t="array" ref="E9">_xlfn.LET( _xlpm.wd, ForecastTbl[[#This Row],[Weekday]], _xlpm.startDate, $B$3, _xlpm.include, (tSales[Weekday]=_xlpm.wd) * (tSales[Date]&lt;_xlpm.startDate) * (tSales[Sales]&gt;0), _xlpm.vals, _xlfn._xlws.FILTER(tSales[Sales], _xlpm.include), _xlpm.dts, _xlfn._xlws.FILTER(tSales[Date], _xlpm.include), _xlpm.valsSorted, _xlfn.SORTBY(_xlpm.vals, _xlpm.dts, -1), _xlpm.n, ROWS(_xlpm.valsSorted), _xlpm.k, IF(_xlpm.n&gt;=3,3,IF(_xlpm.n&gt;=2,2,IF(_xlpm.n&gt;=1,1,0))), _xlpm.avgN, IF(_xlpm.k=0,0, AVERAGE(_xlfn.TAKE(_xlpm.valsSorted,_xlpm.k))), CEILING(_xlpm.avgN, 100) )</f>
        <v>6500</v>
      </c>
      <c r="F9" s="23">
        <f>_xlfn.LET(
 _xlpm.wd, ForecastTbl[[#This Row],[Weekday]],
 _xlpm.startDate, $B$3,
 _xlpm.cutoff, _xlpm.startDate-84,
 AVERAGEIFS(
   tSales[Sales],
   tSales[Weekday], _xlpm.wd,
   tSales[Date], "&gt;="&amp;_xlpm.cutoff,
   tSales[Date], "&lt;"&amp;_xlpm.startDate
 )
)</f>
        <v>7448.666666666667</v>
      </c>
      <c r="G9" s="29">
        <f>IF(ForecastTbl[[#This Row],[Baseline_Sales]]=0,1,ForecastTbl[[#This Row],[Forecast_Sales]]/ForecastTbl[[#This Row],[Baseline_Sales]])</f>
        <v>0.872639398550076</v>
      </c>
      <c r="H9" s="30">
        <f>Forecast_Model!$E22</f>
        <v>0.91627136847757984</v>
      </c>
    </row>
    <row r="10" spans="1:11" x14ac:dyDescent="0.3">
      <c r="D10" s="4"/>
      <c r="E10" s="4"/>
    </row>
    <row r="11" spans="1:11" x14ac:dyDescent="0.3">
      <c r="D11" s="19" t="s">
        <v>91</v>
      </c>
      <c r="E11" s="31">
        <f>SUM(ForecastTbl[Baseline_Sales])</f>
        <v>40822.25</v>
      </c>
    </row>
    <row r="12" spans="1:11" x14ac:dyDescent="0.3">
      <c r="D12" s="19" t="s">
        <v>92</v>
      </c>
      <c r="E12" s="32">
        <f>SUM(ForecastTbl[Forecast_Sales])</f>
        <v>39400</v>
      </c>
    </row>
    <row r="13" spans="1:11" x14ac:dyDescent="0.3">
      <c r="D13" s="33" t="s">
        <v>93</v>
      </c>
      <c r="E13" s="34">
        <f>IF(E11=0,1,E12/E11)</f>
        <v>0.96515993116498966</v>
      </c>
      <c r="F13" s="35"/>
      <c r="G13" s="35"/>
    </row>
    <row r="14" spans="1:11" x14ac:dyDescent="0.3">
      <c r="D14" s="19" t="s">
        <v>94</v>
      </c>
      <c r="E14" s="36" t="str" cm="1">
        <f t="array" ref="E14">_xlfn.LET(_xlpm.m, VALUE($E$13),
 _xlfn.XLOOKUP(_xlpm.m, ProfileRules[Min], ProfileRules[Profile], "High", -1)
)</f>
        <v>Normal</v>
      </c>
      <c r="K14" s="37"/>
    </row>
    <row r="15" spans="1:11" x14ac:dyDescent="0.3">
      <c r="D15" s="19" t="s">
        <v>95</v>
      </c>
      <c r="E15" s="38">
        <f>IFERROR(_xlfn.XLOOKUP($E$14, ProfileRules[Profile], ProfileRules[Multiplier], 1),1)</f>
        <v>1.05</v>
      </c>
    </row>
    <row r="16" spans="1:11" x14ac:dyDescent="0.3">
      <c r="D16" s="84" t="s">
        <v>85</v>
      </c>
      <c r="E16" s="39" cm="1">
        <f t="array" ref="E16:E22">IFERROR(ForecastTbl[Raw_Multiplier]*$E$15,1)</f>
        <v>1.1718560452891225</v>
      </c>
    </row>
    <row r="17" spans="4:8" x14ac:dyDescent="0.3">
      <c r="D17" s="85"/>
      <c r="E17" s="39">
        <v>0.93604903113972648</v>
      </c>
    </row>
    <row r="18" spans="4:8" x14ac:dyDescent="0.3">
      <c r="D18" s="85"/>
      <c r="E18" s="39">
        <v>1.0535117056856187</v>
      </c>
      <c r="H18" s="37"/>
    </row>
    <row r="19" spans="4:8" x14ac:dyDescent="0.3">
      <c r="D19" s="85"/>
      <c r="E19" s="39">
        <v>1.1508480181414467</v>
      </c>
    </row>
    <row r="20" spans="4:8" x14ac:dyDescent="0.3">
      <c r="D20" s="85"/>
      <c r="E20" s="39">
        <v>0.86075710819533102</v>
      </c>
    </row>
    <row r="21" spans="4:8" x14ac:dyDescent="0.3">
      <c r="D21" s="85"/>
      <c r="E21" s="39">
        <v>1.0787158145065399</v>
      </c>
    </row>
    <row r="22" spans="4:8" ht="15" thickBot="1" x14ac:dyDescent="0.35">
      <c r="D22" s="86"/>
      <c r="E22" s="39">
        <v>0.91627136847757984</v>
      </c>
    </row>
  </sheetData>
  <sheetProtection algorithmName="SHA-512" hashValue="WoxjFQp8PvjotXqIYbMA2cwCdoM1uNyngnUbtQpr732EjB4nuUIL8Gh+xnVH4X1Xb3gDN1CJEUwWNu2PyTSz+A==" saltValue="vo/a+H9o2st6eIzBx5Q1xg==" spinCount="100000" sheet="1" objects="1" scenarios="1"/>
  <protectedRanges>
    <protectedRange sqref="B3" name="Range1"/>
  </protectedRanges>
  <mergeCells count="2">
    <mergeCell ref="A2:B2"/>
    <mergeCell ref="D16:D22"/>
  </mergeCells>
  <pageMargins left="0.7" right="0.7" top="0.75" bottom="0.75" header="0.3" footer="0.3"/>
  <pageSetup orientation="portrait" r:id="rId1"/>
  <ignoredErrors>
    <ignoredError sqref="F3:F9" calculatedColumn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A395-777A-4735-B1CE-0372554EA1A1}">
  <sheetPr>
    <tabColor rgb="FFF86308"/>
  </sheetPr>
  <dimension ref="A1:S40"/>
  <sheetViews>
    <sheetView zoomScale="81" workbookViewId="0">
      <pane ySplit="1" topLeftCell="A2" activePane="bottomLeft" state="frozen"/>
      <selection pane="bottomLeft" activeCell="W37" sqref="W37"/>
    </sheetView>
  </sheetViews>
  <sheetFormatPr defaultColWidth="7" defaultRowHeight="14.4" x14ac:dyDescent="0.3"/>
  <cols>
    <col min="1" max="1" width="16" style="11" bestFit="1" customWidth="1"/>
    <col min="2" max="2" width="7.5546875" style="6" bestFit="1" customWidth="1"/>
    <col min="3" max="3" width="14.44140625" style="6" bestFit="1" customWidth="1"/>
    <col min="4" max="5" width="4.88671875" style="6" bestFit="1" customWidth="1"/>
    <col min="6" max="6" width="5.33203125" style="6" bestFit="1" customWidth="1"/>
    <col min="7" max="10" width="6" style="6" bestFit="1" customWidth="1"/>
    <col min="11" max="11" width="6.5546875" style="6" bestFit="1" customWidth="1"/>
    <col min="12" max="12" width="14.44140625" style="6" bestFit="1" customWidth="1"/>
    <col min="13" max="13" width="15.6640625" style="6" bestFit="1" customWidth="1"/>
    <col min="14" max="14" width="19.109375" style="6" bestFit="1" customWidth="1"/>
    <col min="15" max="15" width="7" style="6"/>
    <col min="16" max="16" width="16.6640625" style="6" bestFit="1" customWidth="1"/>
    <col min="17" max="17" width="23.109375" style="6" bestFit="1" customWidth="1"/>
    <col min="18" max="18" width="26.33203125" style="6" bestFit="1" customWidth="1"/>
    <col min="19" max="19" width="23.5546875" style="6" bestFit="1" customWidth="1"/>
    <col min="20" max="16384" width="7" style="6"/>
  </cols>
  <sheetData>
    <row r="1" spans="1:19" x14ac:dyDescent="0.3">
      <c r="A1" s="2" t="s">
        <v>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4"/>
      <c r="P1" s="5" t="s">
        <v>6</v>
      </c>
      <c r="Q1" s="5" t="s">
        <v>70</v>
      </c>
      <c r="R1" s="5" t="s">
        <v>71</v>
      </c>
      <c r="S1" s="5" t="s">
        <v>72</v>
      </c>
    </row>
    <row r="2" spans="1:19" x14ac:dyDescent="0.3">
      <c r="A2" t="s">
        <v>97</v>
      </c>
      <c r="B2" s="4" t="s">
        <v>73</v>
      </c>
      <c r="C2" s="4">
        <v>500</v>
      </c>
      <c r="D2" s="8">
        <v>2</v>
      </c>
      <c r="E2" s="8">
        <v>2</v>
      </c>
      <c r="F2" s="8">
        <v>2</v>
      </c>
      <c r="G2" s="8">
        <v>3</v>
      </c>
      <c r="H2" s="8">
        <v>3</v>
      </c>
      <c r="I2" s="8">
        <v>3</v>
      </c>
      <c r="J2" s="8">
        <v>3</v>
      </c>
      <c r="K2" s="8">
        <v>2</v>
      </c>
      <c r="L2" s="8">
        <f>UsageProfiles[[#This Row],[Mon]]+UsageProfiles[[#This Row],[Tue]]+UsageProfiles[[#This Row],[Wed]]+UsageProfiles[[#This Row],[Thu]]+UsageProfiles[[#This Row],[Fri]]+UsageProfiles[[#This Row],[Sat]]+UsageProfiles[[#This Row],[Sun]]</f>
        <v>18</v>
      </c>
      <c r="M2" s="8">
        <f>ROUNDUP(UsageProfiles[[#This Row],[Buffer]]*_xlfn.XLOOKUP(UsageProfiles[[#This Row],[Profile]], DemandProfile[Profile], DemandProfile[Multiplier]),0)</f>
        <v>2</v>
      </c>
      <c r="N2" s="8">
        <f>ROUNDUP(UsageProfiles[[#This Row],[Weekly_Usage]]+UsageProfiles[[#This Row],[Adjusted_Buffer]],1)</f>
        <v>20</v>
      </c>
      <c r="P2" s="9" t="s">
        <v>97</v>
      </c>
      <c r="Q2" s="10">
        <f>SUMIFS(UsageProfiles[Weekly_Usage], UsageProfiles[Item],$P2, UsageProfiles[Profile], "Low")</f>
        <v>18</v>
      </c>
      <c r="R2" s="10">
        <f>SUMIFS(UsageProfiles[Weekly_Usage], UsageProfiles[Item], $P2, UsageProfiles[Profile], "Normal")</f>
        <v>18.900000000000002</v>
      </c>
      <c r="S2" s="10">
        <f>SUMIFS(UsageProfiles[Weekly_Usage], UsageProfiles[Item], $P2, UsageProfiles[Profile], "High")</f>
        <v>20.7</v>
      </c>
    </row>
    <row r="3" spans="1:19" x14ac:dyDescent="0.3">
      <c r="A3" t="s">
        <v>97</v>
      </c>
      <c r="B3" s="4" t="s">
        <v>74</v>
      </c>
      <c r="C3" s="4">
        <v>500</v>
      </c>
      <c r="D3" s="8">
        <f>D2 * _xlfn.XLOOKUP("Normal", DemandProfile[Profile], DemandProfile[Multiplier])</f>
        <v>2.1</v>
      </c>
      <c r="E3" s="8">
        <f>E2*_xlfn.XLOOKUP("Normal",DemandProfile[Profile],DemandProfile[Multiplier])</f>
        <v>2.1</v>
      </c>
      <c r="F3" s="8">
        <f>F2*_xlfn.XLOOKUP("Normal",DemandProfile[Profile],DemandProfile[Multiplier])</f>
        <v>2.1</v>
      </c>
      <c r="G3" s="8">
        <f>G2* _xlfn.XLOOKUP("Normal", DemandProfile[Profile], DemandProfile[Multiplier])</f>
        <v>3.1500000000000004</v>
      </c>
      <c r="H3" s="8">
        <f>H2*_xlfn.XLOOKUP("Normal",DemandProfile[Profile],DemandProfile[Multiplier])</f>
        <v>3.1500000000000004</v>
      </c>
      <c r="I3" s="8">
        <f>I2* _xlfn.XLOOKUP("Normal", DemandProfile[Profile], DemandProfile[Multiplier])</f>
        <v>3.1500000000000004</v>
      </c>
      <c r="J3" s="8">
        <f>J2* _xlfn.XLOOKUP("Normal", DemandProfile[Profile], DemandProfile[Multiplier])</f>
        <v>3.1500000000000004</v>
      </c>
      <c r="K3" s="8">
        <f>K2</f>
        <v>2</v>
      </c>
      <c r="L3" s="8">
        <f>UsageProfiles[[#This Row],[Mon]]+UsageProfiles[[#This Row],[Tue]]+UsageProfiles[[#This Row],[Wed]]+UsageProfiles[[#This Row],[Thu]]+UsageProfiles[[#This Row],[Fri]]+UsageProfiles[[#This Row],[Sat]]+UsageProfiles[[#This Row],[Sun]]</f>
        <v>18.900000000000002</v>
      </c>
      <c r="M3" s="8">
        <f>ROUNDUP(UsageProfiles[[#This Row],[Buffer]]*_xlfn.XLOOKUP(UsageProfiles[[#This Row],[Profile]], DemandProfile[Profile], DemandProfile[Multiplier]),0)</f>
        <v>3</v>
      </c>
      <c r="N3" s="8">
        <f>ROUNDUP(UsageProfiles[[#This Row],[Weekly_Usage]]+UsageProfiles[[#This Row],[Adjusted_Buffer]],1)</f>
        <v>21.9</v>
      </c>
      <c r="P3" s="9" t="s">
        <v>98</v>
      </c>
      <c r="Q3" s="10">
        <f>SUMIFS(UsageProfiles[Weekly_Usage], UsageProfiles[Item],$P3, UsageProfiles[Profile], "Low")</f>
        <v>55.5</v>
      </c>
      <c r="R3" s="10">
        <f>SUMIFS(UsageProfiles[Weekly_Usage], UsageProfiles[Item], $P3, UsageProfiles[Profile], "Normal")</f>
        <v>58.275000000000013</v>
      </c>
      <c r="S3" s="10">
        <f>SUMIFS(UsageProfiles[Weekly_Usage], UsageProfiles[Item], $P3, UsageProfiles[Profile], "High")</f>
        <v>63.825000000000003</v>
      </c>
    </row>
    <row r="4" spans="1:19" x14ac:dyDescent="0.3">
      <c r="A4" t="s">
        <v>97</v>
      </c>
      <c r="B4" s="4" t="s">
        <v>75</v>
      </c>
      <c r="C4" s="4">
        <v>500</v>
      </c>
      <c r="D4" s="8">
        <f>D2 * _xlfn.XLOOKUP("High", DemandProfile[Profile], DemandProfile[Multiplier])</f>
        <v>2.2999999999999998</v>
      </c>
      <c r="E4" s="8">
        <f>E2 * _xlfn.XLOOKUP("High", DemandProfile[Profile], DemandProfile[Multiplier])</f>
        <v>2.2999999999999998</v>
      </c>
      <c r="F4" s="8">
        <f>F2 * _xlfn.XLOOKUP("High", DemandProfile[Profile], DemandProfile[Multiplier])</f>
        <v>2.2999999999999998</v>
      </c>
      <c r="G4" s="8">
        <f>G2 * _xlfn.XLOOKUP("High", DemandProfile[Profile], DemandProfile[Multiplier])</f>
        <v>3.4499999999999997</v>
      </c>
      <c r="H4" s="8">
        <f>H2 * _xlfn.XLOOKUP("High", DemandProfile[Profile], DemandProfile[Multiplier])</f>
        <v>3.4499999999999997</v>
      </c>
      <c r="I4" s="8">
        <f>I2 * _xlfn.XLOOKUP("High", DemandProfile[Profile], DemandProfile[Multiplier])</f>
        <v>3.4499999999999997</v>
      </c>
      <c r="J4" s="8">
        <f>J2 * _xlfn.XLOOKUP("High", DemandProfile[Profile], DemandProfile[Multiplier])</f>
        <v>3.4499999999999997</v>
      </c>
      <c r="K4" s="8">
        <f>K2</f>
        <v>2</v>
      </c>
      <c r="L4" s="8">
        <f>UsageProfiles[[#This Row],[Mon]]+UsageProfiles[[#This Row],[Tue]]+UsageProfiles[[#This Row],[Wed]]+UsageProfiles[[#This Row],[Thu]]+UsageProfiles[[#This Row],[Fri]]+UsageProfiles[[#This Row],[Sat]]+UsageProfiles[[#This Row],[Sun]]</f>
        <v>20.7</v>
      </c>
      <c r="M4" s="8">
        <f>ROUNDUP(UsageProfiles[[#This Row],[Buffer]]*_xlfn.XLOOKUP(UsageProfiles[[#This Row],[Profile]], DemandProfile[Profile], DemandProfile[Multiplier]),0)</f>
        <v>3</v>
      </c>
      <c r="N4" s="8">
        <f>ROUNDUP(UsageProfiles[[#This Row],[Weekly_Usage]]+UsageProfiles[[#This Row],[Adjusted_Buffer]],1)</f>
        <v>23.7</v>
      </c>
      <c r="P4" s="9" t="s">
        <v>99</v>
      </c>
      <c r="Q4" s="10">
        <f>SUMIFS(UsageProfiles[Weekly_Usage], UsageProfiles[Item],$P4, UsageProfiles[Profile], "Low")</f>
        <v>18</v>
      </c>
      <c r="R4" s="10">
        <f>SUMIFS(UsageProfiles[Weekly_Usage], UsageProfiles[Item], $P4, UsageProfiles[Profile], "Normal")</f>
        <v>18.900000000000002</v>
      </c>
      <c r="S4" s="10">
        <f>SUMIFS(UsageProfiles[Weekly_Usage], UsageProfiles[Item], $P4, UsageProfiles[Profile], "High")</f>
        <v>20.7</v>
      </c>
    </row>
    <row r="5" spans="1:19" x14ac:dyDescent="0.3">
      <c r="A5" t="s">
        <v>98</v>
      </c>
      <c r="B5" s="4" t="s">
        <v>73</v>
      </c>
      <c r="C5" s="4">
        <v>1000</v>
      </c>
      <c r="D5" s="8">
        <v>6.5</v>
      </c>
      <c r="E5" s="8">
        <v>6.5</v>
      </c>
      <c r="F5" s="8">
        <v>6.5</v>
      </c>
      <c r="G5" s="8">
        <v>9</v>
      </c>
      <c r="H5" s="8">
        <v>9</v>
      </c>
      <c r="I5" s="8">
        <v>9</v>
      </c>
      <c r="J5" s="8">
        <v>9</v>
      </c>
      <c r="K5" s="8">
        <v>3</v>
      </c>
      <c r="L5" s="8">
        <f>UsageProfiles[[#This Row],[Mon]]+UsageProfiles[[#This Row],[Tue]]+UsageProfiles[[#This Row],[Wed]]+UsageProfiles[[#This Row],[Thu]]+UsageProfiles[[#This Row],[Fri]]+UsageProfiles[[#This Row],[Sat]]+UsageProfiles[[#This Row],[Sun]]</f>
        <v>55.5</v>
      </c>
      <c r="M5" s="8">
        <f>ROUNDUP(UsageProfiles[[#This Row],[Buffer]]*_xlfn.XLOOKUP(UsageProfiles[[#This Row],[Profile]], DemandProfile[Profile], DemandProfile[Multiplier]),0)</f>
        <v>3</v>
      </c>
      <c r="N5" s="8">
        <f>ROUNDUP(UsageProfiles[[#This Row],[Weekly_Usage]]+UsageProfiles[[#This Row],[Adjusted_Buffer]],1)</f>
        <v>58.5</v>
      </c>
      <c r="P5" s="9" t="s">
        <v>100</v>
      </c>
      <c r="Q5" s="10">
        <f>SUMIFS(UsageProfiles[Weekly_Usage], UsageProfiles[Item],$P5, UsageProfiles[Profile], "Low")</f>
        <v>25</v>
      </c>
      <c r="R5" s="10">
        <f>SUMIFS(UsageProfiles[Weekly_Usage], UsageProfiles[Item], $P5, UsageProfiles[Profile], "Normal")</f>
        <v>26.25</v>
      </c>
      <c r="S5" s="10">
        <f>SUMIFS(UsageProfiles[Weekly_Usage], UsageProfiles[Item], $P5, UsageProfiles[Profile], "High")</f>
        <v>28.75</v>
      </c>
    </row>
    <row r="6" spans="1:19" x14ac:dyDescent="0.3">
      <c r="A6" t="s">
        <v>98</v>
      </c>
      <c r="B6" s="4" t="s">
        <v>74</v>
      </c>
      <c r="C6" s="4">
        <v>1000</v>
      </c>
      <c r="D6" s="8">
        <f>D5 * _xlfn.XLOOKUP("Normal", DemandProfile[Profile], DemandProfile[Multiplier])</f>
        <v>6.8250000000000002</v>
      </c>
      <c r="E6" s="8">
        <f>E5 * _xlfn.XLOOKUP("Normal", DemandProfile[Profile], DemandProfile[Multiplier])</f>
        <v>6.8250000000000002</v>
      </c>
      <c r="F6" s="8">
        <f>F5 * _xlfn.XLOOKUP("Normal", DemandProfile[Profile], DemandProfile[Multiplier])</f>
        <v>6.8250000000000002</v>
      </c>
      <c r="G6" s="8">
        <f>G5 * _xlfn.XLOOKUP("Normal", DemandProfile[Profile], DemandProfile[Multiplier])</f>
        <v>9.4500000000000011</v>
      </c>
      <c r="H6" s="8">
        <f>H5 * _xlfn.XLOOKUP("Normal", DemandProfile[Profile], DemandProfile[Multiplier])</f>
        <v>9.4500000000000011</v>
      </c>
      <c r="I6" s="8">
        <f>I5 * _xlfn.XLOOKUP("Normal", DemandProfile[Profile], DemandProfile[Multiplier])</f>
        <v>9.4500000000000011</v>
      </c>
      <c r="J6" s="8">
        <f>J5 * _xlfn.XLOOKUP("Normal", DemandProfile[Profile], DemandProfile[Multiplier])</f>
        <v>9.4500000000000011</v>
      </c>
      <c r="K6" s="8">
        <f>K5</f>
        <v>3</v>
      </c>
      <c r="L6" s="8">
        <f>UsageProfiles[[#This Row],[Mon]]+UsageProfiles[[#This Row],[Tue]]+UsageProfiles[[#This Row],[Wed]]+UsageProfiles[[#This Row],[Thu]]+UsageProfiles[[#This Row],[Fri]]+UsageProfiles[[#This Row],[Sat]]+UsageProfiles[[#This Row],[Sun]]</f>
        <v>58.275000000000013</v>
      </c>
      <c r="M6" s="8">
        <f>ROUNDUP(UsageProfiles[[#This Row],[Buffer]]*_xlfn.XLOOKUP(UsageProfiles[[#This Row],[Profile]], DemandProfile[Profile], DemandProfile[Multiplier]),0)</f>
        <v>4</v>
      </c>
      <c r="N6" s="8">
        <f>ROUNDUP(UsageProfiles[[#This Row],[Weekly_Usage]]+UsageProfiles[[#This Row],[Adjusted_Buffer]],1)</f>
        <v>62.300000000000004</v>
      </c>
      <c r="P6" s="9" t="s">
        <v>101</v>
      </c>
      <c r="Q6" s="10">
        <f>SUMIFS(UsageProfiles[Weekly_Usage], UsageProfiles[Item],$P6, UsageProfiles[Profile], "Low")</f>
        <v>18</v>
      </c>
      <c r="R6" s="10">
        <f>SUMIFS(UsageProfiles[Weekly_Usage], UsageProfiles[Item], $P6, UsageProfiles[Profile], "Normal")</f>
        <v>18.900000000000002</v>
      </c>
      <c r="S6" s="10">
        <f>SUMIFS(UsageProfiles[Weekly_Usage], UsageProfiles[Item], $P6, UsageProfiles[Profile], "High")</f>
        <v>20.7</v>
      </c>
    </row>
    <row r="7" spans="1:19" x14ac:dyDescent="0.3">
      <c r="A7" t="s">
        <v>98</v>
      </c>
      <c r="B7" s="4" t="s">
        <v>75</v>
      </c>
      <c r="C7" s="4">
        <v>1000</v>
      </c>
      <c r="D7" s="8">
        <f>D5 * _xlfn.XLOOKUP("High", DemandProfile[Profile], DemandProfile[Multiplier])</f>
        <v>7.4749999999999996</v>
      </c>
      <c r="E7" s="8">
        <f>E5 * _xlfn.XLOOKUP("High", DemandProfile[Profile], DemandProfile[Multiplier])</f>
        <v>7.4749999999999996</v>
      </c>
      <c r="F7" s="8">
        <f>F5 * _xlfn.XLOOKUP("High", DemandProfile[Profile], DemandProfile[Multiplier])</f>
        <v>7.4749999999999996</v>
      </c>
      <c r="G7" s="8">
        <f>G5 * _xlfn.XLOOKUP("High", DemandProfile[Profile], DemandProfile[Multiplier])</f>
        <v>10.35</v>
      </c>
      <c r="H7" s="8">
        <f>H5 * _xlfn.XLOOKUP("High", DemandProfile[Profile], DemandProfile[Multiplier])</f>
        <v>10.35</v>
      </c>
      <c r="I7" s="8">
        <f>I5 * _xlfn.XLOOKUP("High", DemandProfile[Profile], DemandProfile[Multiplier])</f>
        <v>10.35</v>
      </c>
      <c r="J7" s="8">
        <f>J5 * _xlfn.XLOOKUP("High", DemandProfile[Profile], DemandProfile[Multiplier])</f>
        <v>10.35</v>
      </c>
      <c r="K7" s="8">
        <f>K5</f>
        <v>3</v>
      </c>
      <c r="L7" s="8">
        <f>UsageProfiles[[#This Row],[Mon]]+UsageProfiles[[#This Row],[Tue]]+UsageProfiles[[#This Row],[Wed]]+UsageProfiles[[#This Row],[Thu]]+UsageProfiles[[#This Row],[Fri]]+UsageProfiles[[#This Row],[Sat]]+UsageProfiles[[#This Row],[Sun]]</f>
        <v>63.825000000000003</v>
      </c>
      <c r="M7" s="8">
        <f>ROUNDUP(UsageProfiles[[#This Row],[Buffer]]*_xlfn.XLOOKUP(UsageProfiles[[#This Row],[Profile]], DemandProfile[Profile], DemandProfile[Multiplier]),0)</f>
        <v>4</v>
      </c>
      <c r="N7" s="8">
        <f>ROUNDUP(UsageProfiles[[#This Row],[Weekly_Usage]]+UsageProfiles[[#This Row],[Adjusted_Buffer]],1)</f>
        <v>67.899999999999991</v>
      </c>
      <c r="P7" s="9" t="s">
        <v>102</v>
      </c>
      <c r="Q7" s="10">
        <f>SUMIFS(UsageProfiles[Weekly_Usage], UsageProfiles[Item],$P7, UsageProfiles[Profile], "Low")</f>
        <v>7.15</v>
      </c>
      <c r="R7" s="10">
        <f>SUMIFS(UsageProfiles[Weekly_Usage], UsageProfiles[Item], $P7, UsageProfiles[Profile], "Normal")</f>
        <v>7.5074999999999985</v>
      </c>
      <c r="S7" s="10">
        <f>SUMIFS(UsageProfiles[Weekly_Usage], UsageProfiles[Item], $P7, UsageProfiles[Profile], "High")</f>
        <v>8.2224999999999984</v>
      </c>
    </row>
    <row r="8" spans="1:19" x14ac:dyDescent="0.3">
      <c r="A8" t="s">
        <v>99</v>
      </c>
      <c r="B8" s="4" t="s">
        <v>73</v>
      </c>
      <c r="C8" s="4">
        <v>450</v>
      </c>
      <c r="D8" s="8">
        <v>2</v>
      </c>
      <c r="E8" s="8">
        <v>2</v>
      </c>
      <c r="F8" s="8">
        <v>2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f>UsageProfiles[[#This Row],[Mon]]+UsageProfiles[[#This Row],[Tue]]+UsageProfiles[[#This Row],[Wed]]+UsageProfiles[[#This Row],[Thu]]+UsageProfiles[[#This Row],[Fri]]+UsageProfiles[[#This Row],[Sat]]+UsageProfiles[[#This Row],[Sun]]</f>
        <v>18</v>
      </c>
      <c r="M8" s="8">
        <f>ROUNDUP(UsageProfiles[[#This Row],[Buffer]]*_xlfn.XLOOKUP(UsageProfiles[[#This Row],[Profile]], DemandProfile[Profile], DemandProfile[Multiplier]),0)</f>
        <v>3</v>
      </c>
      <c r="N8" s="8">
        <f>ROUNDUP(UsageProfiles[[#This Row],[Weekly_Usage]]+UsageProfiles[[#This Row],[Adjusted_Buffer]],1)</f>
        <v>21</v>
      </c>
      <c r="P8" s="9" t="s">
        <v>103</v>
      </c>
      <c r="Q8" s="10">
        <f>SUMIFS(UsageProfiles[Weekly_Usage], UsageProfiles[Item],$P8, UsageProfiles[Profile], "Low")</f>
        <v>18</v>
      </c>
      <c r="R8" s="10">
        <f>SUMIFS(UsageProfiles[Weekly_Usage], UsageProfiles[Item], $P8, UsageProfiles[Profile], "Normal")</f>
        <v>18.900000000000002</v>
      </c>
      <c r="S8" s="10">
        <f>SUMIFS(UsageProfiles[Weekly_Usage], UsageProfiles[Item], $P8, UsageProfiles[Profile], "High")</f>
        <v>20.7</v>
      </c>
    </row>
    <row r="9" spans="1:19" x14ac:dyDescent="0.3">
      <c r="A9" t="s">
        <v>99</v>
      </c>
      <c r="B9" s="4" t="s">
        <v>74</v>
      </c>
      <c r="C9" s="4">
        <v>450</v>
      </c>
      <c r="D9" s="8">
        <f>D8 * _xlfn.XLOOKUP("Normal", DemandProfile[Profile], DemandProfile[Multiplier])</f>
        <v>2.1</v>
      </c>
      <c r="E9" s="8">
        <f>E8 * _xlfn.XLOOKUP("Normal", DemandProfile[Profile], DemandProfile[Multiplier])</f>
        <v>2.1</v>
      </c>
      <c r="F9" s="8">
        <f>F8 * _xlfn.XLOOKUP("Normal", DemandProfile[Profile], DemandProfile[Multiplier])</f>
        <v>2.1</v>
      </c>
      <c r="G9" s="8">
        <f>G8 * _xlfn.XLOOKUP("Normal", DemandProfile[Profile], DemandProfile[Multiplier])</f>
        <v>3.1500000000000004</v>
      </c>
      <c r="H9" s="8">
        <f>H8 * _xlfn.XLOOKUP("Normal", DemandProfile[Profile], DemandProfile[Multiplier])</f>
        <v>3.1500000000000004</v>
      </c>
      <c r="I9" s="8">
        <f>I8 * _xlfn.XLOOKUP("Normal", DemandProfile[Profile], DemandProfile[Multiplier])</f>
        <v>3.1500000000000004</v>
      </c>
      <c r="J9" s="8">
        <f>J8 * _xlfn.XLOOKUP("Normal", DemandProfile[Profile], DemandProfile[Multiplier])</f>
        <v>3.1500000000000004</v>
      </c>
      <c r="K9" s="8">
        <f>K8</f>
        <v>3</v>
      </c>
      <c r="L9" s="8">
        <f>UsageProfiles[[#This Row],[Mon]]+UsageProfiles[[#This Row],[Tue]]+UsageProfiles[[#This Row],[Wed]]+UsageProfiles[[#This Row],[Thu]]+UsageProfiles[[#This Row],[Fri]]+UsageProfiles[[#This Row],[Sat]]+UsageProfiles[[#This Row],[Sun]]</f>
        <v>18.900000000000002</v>
      </c>
      <c r="M9" s="8">
        <f>ROUNDUP(UsageProfiles[[#This Row],[Buffer]]*_xlfn.XLOOKUP(UsageProfiles[[#This Row],[Profile]], DemandProfile[Profile], DemandProfile[Multiplier]),0)</f>
        <v>4</v>
      </c>
      <c r="N9" s="8">
        <f>ROUNDUP(UsageProfiles[[#This Row],[Weekly_Usage]]+UsageProfiles[[#This Row],[Adjusted_Buffer]],1)</f>
        <v>22.9</v>
      </c>
      <c r="P9" s="9" t="s">
        <v>104</v>
      </c>
      <c r="Q9" s="10">
        <f>SUMIFS(UsageProfiles[Weekly_Usage], UsageProfiles[Item],$P9, UsageProfiles[Profile], "Low")</f>
        <v>4.55</v>
      </c>
      <c r="R9" s="10">
        <f>SUMIFS(UsageProfiles[Weekly_Usage], UsageProfiles[Item], $P9, UsageProfiles[Profile], "Normal")</f>
        <v>4.7775000000000007</v>
      </c>
      <c r="S9" s="10">
        <f>SUMIFS(UsageProfiles[Weekly_Usage], UsageProfiles[Item], $P9, UsageProfiles[Profile], "High")</f>
        <v>5.232499999999999</v>
      </c>
    </row>
    <row r="10" spans="1:19" x14ac:dyDescent="0.3">
      <c r="A10" t="s">
        <v>99</v>
      </c>
      <c r="B10" s="4" t="s">
        <v>75</v>
      </c>
      <c r="C10" s="4">
        <v>450</v>
      </c>
      <c r="D10" s="8">
        <f>D8 * _xlfn.XLOOKUP("High", DemandProfile[Profile], DemandProfile[Multiplier])</f>
        <v>2.2999999999999998</v>
      </c>
      <c r="E10" s="8">
        <f>E8 * _xlfn.XLOOKUP("High", DemandProfile[Profile], DemandProfile[Multiplier])</f>
        <v>2.2999999999999998</v>
      </c>
      <c r="F10" s="8">
        <f>F8 * _xlfn.XLOOKUP("High", DemandProfile[Profile], DemandProfile[Multiplier])</f>
        <v>2.2999999999999998</v>
      </c>
      <c r="G10" s="8">
        <f>G8 * _xlfn.XLOOKUP("High", DemandProfile[Profile], DemandProfile[Multiplier])</f>
        <v>3.4499999999999997</v>
      </c>
      <c r="H10" s="8">
        <f>H8 * _xlfn.XLOOKUP("High", DemandProfile[Profile], DemandProfile[Multiplier])</f>
        <v>3.4499999999999997</v>
      </c>
      <c r="I10" s="8">
        <f>I8 * _xlfn.XLOOKUP("High", DemandProfile[Profile], DemandProfile[Multiplier])</f>
        <v>3.4499999999999997</v>
      </c>
      <c r="J10" s="8">
        <f>J8 * _xlfn.XLOOKUP("High", DemandProfile[Profile], DemandProfile[Multiplier])</f>
        <v>3.4499999999999997</v>
      </c>
      <c r="K10" s="8">
        <f>K8</f>
        <v>3</v>
      </c>
      <c r="L10" s="8">
        <f>UsageProfiles[[#This Row],[Mon]]+UsageProfiles[[#This Row],[Tue]]+UsageProfiles[[#This Row],[Wed]]+UsageProfiles[[#This Row],[Thu]]+UsageProfiles[[#This Row],[Fri]]+UsageProfiles[[#This Row],[Sat]]+UsageProfiles[[#This Row],[Sun]]</f>
        <v>20.7</v>
      </c>
      <c r="M10" s="8">
        <f>ROUNDUP(UsageProfiles[[#This Row],[Buffer]]*_xlfn.XLOOKUP(UsageProfiles[[#This Row],[Profile]], DemandProfile[Profile], DemandProfile[Multiplier]),0)</f>
        <v>4</v>
      </c>
      <c r="N10" s="8">
        <f>ROUNDUP(UsageProfiles[[#This Row],[Weekly_Usage]]+UsageProfiles[[#This Row],[Adjusted_Buffer]],1)</f>
        <v>24.7</v>
      </c>
      <c r="P10" s="9" t="s">
        <v>105</v>
      </c>
      <c r="Q10" s="10">
        <f>SUMIFS(UsageProfiles[Weekly_Usage], UsageProfiles[Item],$P10, UsageProfiles[Profile], "Low")</f>
        <v>3.5</v>
      </c>
      <c r="R10" s="10">
        <f>SUMIFS(UsageProfiles[Weekly_Usage], UsageProfiles[Item], $P10, UsageProfiles[Profile], "Normal")</f>
        <v>3.6749999999999998</v>
      </c>
      <c r="S10" s="10">
        <f>SUMIFS(UsageProfiles[Weekly_Usage], UsageProfiles[Item], $P10, UsageProfiles[Profile], "High")</f>
        <v>4.0250000000000004</v>
      </c>
    </row>
    <row r="11" spans="1:19" x14ac:dyDescent="0.3">
      <c r="A11" t="s">
        <v>100</v>
      </c>
      <c r="B11" s="4" t="s">
        <v>73</v>
      </c>
      <c r="C11" s="4">
        <v>200</v>
      </c>
      <c r="D11" s="8">
        <v>3</v>
      </c>
      <c r="E11" s="8">
        <v>3</v>
      </c>
      <c r="F11" s="8">
        <v>3</v>
      </c>
      <c r="G11" s="8">
        <v>4</v>
      </c>
      <c r="H11" s="8">
        <v>4</v>
      </c>
      <c r="I11" s="8">
        <v>4</v>
      </c>
      <c r="J11" s="8">
        <v>4</v>
      </c>
      <c r="K11" s="8">
        <v>4</v>
      </c>
      <c r="L11" s="8">
        <f>UsageProfiles[[#This Row],[Mon]]+UsageProfiles[[#This Row],[Tue]]+UsageProfiles[[#This Row],[Wed]]+UsageProfiles[[#This Row],[Thu]]+UsageProfiles[[#This Row],[Fri]]+UsageProfiles[[#This Row],[Sat]]+UsageProfiles[[#This Row],[Sun]]</f>
        <v>25</v>
      </c>
      <c r="M11" s="8">
        <f>ROUNDUP(UsageProfiles[[#This Row],[Buffer]]*_xlfn.XLOOKUP(UsageProfiles[[#This Row],[Profile]], DemandProfile[Profile], DemandProfile[Multiplier]),0)</f>
        <v>4</v>
      </c>
      <c r="N11" s="8">
        <f>ROUNDUP(UsageProfiles[[#This Row],[Weekly_Usage]]+UsageProfiles[[#This Row],[Adjusted_Buffer]],1)</f>
        <v>29</v>
      </c>
      <c r="P11" s="9" t="s">
        <v>106</v>
      </c>
      <c r="Q11" s="10">
        <f>SUMIFS(UsageProfiles[Weekly_Usage], UsageProfiles[Item],$P11, UsageProfiles[Profile], "Low")</f>
        <v>3.5</v>
      </c>
      <c r="R11" s="10">
        <f>SUMIFS(UsageProfiles[Weekly_Usage], UsageProfiles[Item], $P11, UsageProfiles[Profile], "Normal")</f>
        <v>3.6749999999999998</v>
      </c>
      <c r="S11" s="10">
        <f>SUMIFS(UsageProfiles[Weekly_Usage], UsageProfiles[Item], $P11, UsageProfiles[Profile], "High")</f>
        <v>4.0250000000000004</v>
      </c>
    </row>
    <row r="12" spans="1:19" x14ac:dyDescent="0.3">
      <c r="A12" t="s">
        <v>100</v>
      </c>
      <c r="B12" s="4" t="s">
        <v>74</v>
      </c>
      <c r="C12" s="4">
        <v>200</v>
      </c>
      <c r="D12" s="8">
        <f>D11 * _xlfn.XLOOKUP("Normal", DemandProfile[Profile], DemandProfile[Multiplier])</f>
        <v>3.1500000000000004</v>
      </c>
      <c r="E12" s="8">
        <f>E11 * _xlfn.XLOOKUP("Normal", DemandProfile[Profile], DemandProfile[Multiplier])</f>
        <v>3.1500000000000004</v>
      </c>
      <c r="F12" s="8">
        <f>F11 * _xlfn.XLOOKUP("Normal", DemandProfile[Profile], DemandProfile[Multiplier])</f>
        <v>3.1500000000000004</v>
      </c>
      <c r="G12" s="8">
        <f>G11 * _xlfn.XLOOKUP("Normal", DemandProfile[Profile], DemandProfile[Multiplier])</f>
        <v>4.2</v>
      </c>
      <c r="H12" s="8">
        <f>H11 * _xlfn.XLOOKUP("Normal", DemandProfile[Profile], DemandProfile[Multiplier])</f>
        <v>4.2</v>
      </c>
      <c r="I12" s="8">
        <f>I11 * _xlfn.XLOOKUP("Normal", DemandProfile[Profile], DemandProfile[Multiplier])</f>
        <v>4.2</v>
      </c>
      <c r="J12" s="8">
        <f>J11 * _xlfn.XLOOKUP("Normal", DemandProfile[Profile], DemandProfile[Multiplier])</f>
        <v>4.2</v>
      </c>
      <c r="K12" s="8">
        <f>K11</f>
        <v>4</v>
      </c>
      <c r="L12" s="8">
        <f>UsageProfiles[[#This Row],[Mon]]+UsageProfiles[[#This Row],[Tue]]+UsageProfiles[[#This Row],[Wed]]+UsageProfiles[[#This Row],[Thu]]+UsageProfiles[[#This Row],[Fri]]+UsageProfiles[[#This Row],[Sat]]+UsageProfiles[[#This Row],[Sun]]</f>
        <v>26.25</v>
      </c>
      <c r="M12" s="8">
        <f>ROUNDUP(UsageProfiles[[#This Row],[Buffer]]*_xlfn.XLOOKUP(UsageProfiles[[#This Row],[Profile]], DemandProfile[Profile], DemandProfile[Multiplier]),0)</f>
        <v>5</v>
      </c>
      <c r="N12" s="8">
        <f>ROUNDUP(UsageProfiles[[#This Row],[Weekly_Usage]]+UsageProfiles[[#This Row],[Adjusted_Buffer]],1)</f>
        <v>31.3</v>
      </c>
      <c r="P12" s="9" t="s">
        <v>107</v>
      </c>
      <c r="Q12" s="10">
        <f>SUMIFS(UsageProfiles[Weekly_Usage], UsageProfiles[Item],$P12, UsageProfiles[Profile], "Low")</f>
        <v>3.5</v>
      </c>
      <c r="R12" s="10">
        <f>SUMIFS(UsageProfiles[Weekly_Usage], UsageProfiles[Item], $P12, UsageProfiles[Profile], "Normal")</f>
        <v>3.6749999999999998</v>
      </c>
      <c r="S12" s="10">
        <f>SUMIFS(UsageProfiles[Weekly_Usage], UsageProfiles[Item], $P12, UsageProfiles[Profile], "High")</f>
        <v>4.0250000000000004</v>
      </c>
    </row>
    <row r="13" spans="1:19" x14ac:dyDescent="0.3">
      <c r="A13" t="s">
        <v>100</v>
      </c>
      <c r="B13" s="4" t="s">
        <v>75</v>
      </c>
      <c r="C13" s="4">
        <v>200</v>
      </c>
      <c r="D13" s="8">
        <f>D11 * _xlfn.XLOOKUP("High", DemandProfile[Profile], DemandProfile[Multiplier])</f>
        <v>3.4499999999999997</v>
      </c>
      <c r="E13" s="8">
        <f>E11 * _xlfn.XLOOKUP("High", DemandProfile[Profile], DemandProfile[Multiplier])</f>
        <v>3.4499999999999997</v>
      </c>
      <c r="F13" s="8">
        <f>F11 * _xlfn.XLOOKUP("High", DemandProfile[Profile], DemandProfile[Multiplier])</f>
        <v>3.4499999999999997</v>
      </c>
      <c r="G13" s="8">
        <f>G11 * _xlfn.XLOOKUP("High", DemandProfile[Profile], DemandProfile[Multiplier])</f>
        <v>4.5999999999999996</v>
      </c>
      <c r="H13" s="8">
        <f>H11 * _xlfn.XLOOKUP("High", DemandProfile[Profile], DemandProfile[Multiplier])</f>
        <v>4.5999999999999996</v>
      </c>
      <c r="I13" s="8">
        <f>I11 * _xlfn.XLOOKUP("High", DemandProfile[Profile], DemandProfile[Multiplier])</f>
        <v>4.5999999999999996</v>
      </c>
      <c r="J13" s="8">
        <f>J11 * _xlfn.XLOOKUP("High", DemandProfile[Profile], DemandProfile[Multiplier])</f>
        <v>4.5999999999999996</v>
      </c>
      <c r="K13" s="8">
        <f>K11</f>
        <v>4</v>
      </c>
      <c r="L13" s="8">
        <f>UsageProfiles[[#This Row],[Mon]]+UsageProfiles[[#This Row],[Tue]]+UsageProfiles[[#This Row],[Wed]]+UsageProfiles[[#This Row],[Thu]]+UsageProfiles[[#This Row],[Fri]]+UsageProfiles[[#This Row],[Sat]]+UsageProfiles[[#This Row],[Sun]]</f>
        <v>28.75</v>
      </c>
      <c r="M13" s="8">
        <f>ROUNDUP(UsageProfiles[[#This Row],[Buffer]]*_xlfn.XLOOKUP(UsageProfiles[[#This Row],[Profile]], DemandProfile[Profile], DemandProfile[Multiplier]),0)</f>
        <v>5</v>
      </c>
      <c r="N13" s="8">
        <f>ROUNDUP(UsageProfiles[[#This Row],[Weekly_Usage]]+UsageProfiles[[#This Row],[Adjusted_Buffer]],1)</f>
        <v>33.800000000000004</v>
      </c>
      <c r="P13" s="9" t="s">
        <v>108</v>
      </c>
      <c r="Q13" s="10">
        <f>SUMIFS(UsageProfiles[Weekly_Usage], UsageProfiles[Item],$P13, UsageProfiles[Profile], "Low")</f>
        <v>11</v>
      </c>
      <c r="R13" s="10">
        <f>SUMIFS(UsageProfiles[Weekly_Usage], UsageProfiles[Item], $P13, UsageProfiles[Profile], "Normal")</f>
        <v>11.549999999999999</v>
      </c>
      <c r="S13" s="10">
        <f>SUMIFS(UsageProfiles[Weekly_Usage], UsageProfiles[Item], $P13, UsageProfiles[Profile], "High")</f>
        <v>12.650000000000002</v>
      </c>
    </row>
    <row r="14" spans="1:19" x14ac:dyDescent="0.3">
      <c r="A14" s="7" t="s">
        <v>101</v>
      </c>
      <c r="B14" s="4" t="s">
        <v>73</v>
      </c>
      <c r="C14" s="4">
        <v>150</v>
      </c>
      <c r="D14" s="8">
        <v>2</v>
      </c>
      <c r="E14" s="8">
        <v>2</v>
      </c>
      <c r="F14" s="8">
        <v>2</v>
      </c>
      <c r="G14" s="8">
        <v>3</v>
      </c>
      <c r="H14" s="8">
        <v>3</v>
      </c>
      <c r="I14" s="8">
        <v>3</v>
      </c>
      <c r="J14" s="8">
        <v>3</v>
      </c>
      <c r="K14" s="8">
        <v>3</v>
      </c>
      <c r="L14" s="8">
        <f>UsageProfiles[[#This Row],[Mon]]+UsageProfiles[[#This Row],[Tue]]+UsageProfiles[[#This Row],[Wed]]+UsageProfiles[[#This Row],[Thu]]+UsageProfiles[[#This Row],[Fri]]+UsageProfiles[[#This Row],[Sat]]+UsageProfiles[[#This Row],[Sun]]</f>
        <v>18</v>
      </c>
      <c r="M14" s="8">
        <f>ROUNDUP(UsageProfiles[[#This Row],[Buffer]]*_xlfn.XLOOKUP(UsageProfiles[[#This Row],[Profile]], DemandProfile[Profile], DemandProfile[Multiplier]),0)</f>
        <v>3</v>
      </c>
      <c r="N14" s="8">
        <f>ROUNDUP(UsageProfiles[[#This Row],[Weekly_Usage]]+UsageProfiles[[#This Row],[Adjusted_Buffer]],1)</f>
        <v>21</v>
      </c>
      <c r="P14" s="9" t="s">
        <v>109</v>
      </c>
      <c r="Q14" s="10">
        <f>SUMIFS(UsageProfiles[Weekly_Usage], UsageProfiles[Item],$P14, UsageProfiles[Profile], "Low")</f>
        <v>11</v>
      </c>
      <c r="R14" s="10">
        <f>SUMIFS(UsageProfiles[Weekly_Usage], UsageProfiles[Item], $P14, UsageProfiles[Profile], "Normal")</f>
        <v>11.549999999999999</v>
      </c>
      <c r="S14" s="10">
        <f>SUMIFS(UsageProfiles[Weekly_Usage], UsageProfiles[Item], $P14, UsageProfiles[Profile], "High")</f>
        <v>12.650000000000002</v>
      </c>
    </row>
    <row r="15" spans="1:19" x14ac:dyDescent="0.3">
      <c r="A15" s="7" t="s">
        <v>101</v>
      </c>
      <c r="B15" s="4" t="s">
        <v>74</v>
      </c>
      <c r="C15" s="4">
        <v>150</v>
      </c>
      <c r="D15" s="8">
        <f>D14 * _xlfn.XLOOKUP("Normal", DemandProfile[Profile], DemandProfile[Multiplier])</f>
        <v>2.1</v>
      </c>
      <c r="E15" s="8">
        <f>E14 * _xlfn.XLOOKUP("Normal", DemandProfile[Profile], DemandProfile[Multiplier])</f>
        <v>2.1</v>
      </c>
      <c r="F15" s="8">
        <f>F14 * _xlfn.XLOOKUP("Normal", DemandProfile[Profile], DemandProfile[Multiplier])</f>
        <v>2.1</v>
      </c>
      <c r="G15" s="8">
        <f>G14 * _xlfn.XLOOKUP("Normal", DemandProfile[Profile], DemandProfile[Multiplier])</f>
        <v>3.1500000000000004</v>
      </c>
      <c r="H15" s="8">
        <f>H14 * _xlfn.XLOOKUP("Normal", DemandProfile[Profile], DemandProfile[Multiplier])</f>
        <v>3.1500000000000004</v>
      </c>
      <c r="I15" s="8">
        <f>I14 * _xlfn.XLOOKUP("Normal", DemandProfile[Profile], DemandProfile[Multiplier])</f>
        <v>3.1500000000000004</v>
      </c>
      <c r="J15" s="8">
        <f>J14 * _xlfn.XLOOKUP("Normal", DemandProfile[Profile], DemandProfile[Multiplier])</f>
        <v>3.1500000000000004</v>
      </c>
      <c r="K15" s="8">
        <f>K14</f>
        <v>3</v>
      </c>
      <c r="L15" s="8">
        <f>UsageProfiles[[#This Row],[Mon]]+UsageProfiles[[#This Row],[Tue]]+UsageProfiles[[#This Row],[Wed]]+UsageProfiles[[#This Row],[Thu]]+UsageProfiles[[#This Row],[Fri]]+UsageProfiles[[#This Row],[Sat]]+UsageProfiles[[#This Row],[Sun]]</f>
        <v>18.900000000000002</v>
      </c>
      <c r="M15" s="8">
        <f>ROUNDUP(UsageProfiles[[#This Row],[Buffer]]*_xlfn.XLOOKUP(UsageProfiles[[#This Row],[Profile]], DemandProfile[Profile], DemandProfile[Multiplier]),0)</f>
        <v>4</v>
      </c>
      <c r="N15" s="8">
        <f>ROUNDUP(UsageProfiles[[#This Row],[Weekly_Usage]]+UsageProfiles[[#This Row],[Adjusted_Buffer]],1)</f>
        <v>22.9</v>
      </c>
    </row>
    <row r="16" spans="1:19" x14ac:dyDescent="0.3">
      <c r="A16" s="7" t="s">
        <v>101</v>
      </c>
      <c r="B16" s="4" t="s">
        <v>75</v>
      </c>
      <c r="C16" s="4">
        <v>150</v>
      </c>
      <c r="D16" s="8">
        <f>D14 * _xlfn.XLOOKUP("High", DemandProfile[Profile], DemandProfile[Multiplier])</f>
        <v>2.2999999999999998</v>
      </c>
      <c r="E16" s="8">
        <f>E14 * _xlfn.XLOOKUP("High", DemandProfile[Profile], DemandProfile[Multiplier])</f>
        <v>2.2999999999999998</v>
      </c>
      <c r="F16" s="8">
        <f>F14 * _xlfn.XLOOKUP("High", DemandProfile[Profile], DemandProfile[Multiplier])</f>
        <v>2.2999999999999998</v>
      </c>
      <c r="G16" s="8">
        <f>G14 * _xlfn.XLOOKUP("High", DemandProfile[Profile], DemandProfile[Multiplier])</f>
        <v>3.4499999999999997</v>
      </c>
      <c r="H16" s="8">
        <f>H14 * _xlfn.XLOOKUP("High", DemandProfile[Profile], DemandProfile[Multiplier])</f>
        <v>3.4499999999999997</v>
      </c>
      <c r="I16" s="8">
        <f>I14 * _xlfn.XLOOKUP("High", DemandProfile[Profile], DemandProfile[Multiplier])</f>
        <v>3.4499999999999997</v>
      </c>
      <c r="J16" s="8">
        <f>J14 * _xlfn.XLOOKUP("High", DemandProfile[Profile], DemandProfile[Multiplier])</f>
        <v>3.4499999999999997</v>
      </c>
      <c r="K16" s="8">
        <f>K14</f>
        <v>3</v>
      </c>
      <c r="L16" s="8">
        <f>UsageProfiles[[#This Row],[Mon]]+UsageProfiles[[#This Row],[Tue]]+UsageProfiles[[#This Row],[Wed]]+UsageProfiles[[#This Row],[Thu]]+UsageProfiles[[#This Row],[Fri]]+UsageProfiles[[#This Row],[Sat]]+UsageProfiles[[#This Row],[Sun]]</f>
        <v>20.7</v>
      </c>
      <c r="M16" s="8">
        <f>ROUNDUP(UsageProfiles[[#This Row],[Buffer]]*_xlfn.XLOOKUP(UsageProfiles[[#This Row],[Profile]], DemandProfile[Profile], DemandProfile[Multiplier]),0)</f>
        <v>4</v>
      </c>
      <c r="N16" s="8">
        <f>ROUNDUP(UsageProfiles[[#This Row],[Weekly_Usage]]+UsageProfiles[[#This Row],[Adjusted_Buffer]],1)</f>
        <v>24.7</v>
      </c>
    </row>
    <row r="17" spans="1:14" x14ac:dyDescent="0.3">
      <c r="A17" t="s">
        <v>102</v>
      </c>
      <c r="B17" s="4" t="s">
        <v>73</v>
      </c>
      <c r="C17" s="4">
        <v>700</v>
      </c>
      <c r="D17" s="8">
        <v>0.85</v>
      </c>
      <c r="E17" s="8">
        <v>0.85</v>
      </c>
      <c r="F17" s="8">
        <v>0.85</v>
      </c>
      <c r="G17" s="8">
        <v>1.1499999999999999</v>
      </c>
      <c r="H17" s="8">
        <v>1.1499999999999999</v>
      </c>
      <c r="I17" s="8">
        <v>1.1499999999999999</v>
      </c>
      <c r="J17" s="8">
        <v>1.1499999999999999</v>
      </c>
      <c r="K17" s="8">
        <v>1</v>
      </c>
      <c r="L17" s="8">
        <f>UsageProfiles[[#This Row],[Mon]]+UsageProfiles[[#This Row],[Tue]]+UsageProfiles[[#This Row],[Wed]]+UsageProfiles[[#This Row],[Thu]]+UsageProfiles[[#This Row],[Fri]]+UsageProfiles[[#This Row],[Sat]]+UsageProfiles[[#This Row],[Sun]]</f>
        <v>7.15</v>
      </c>
      <c r="M17" s="8">
        <f>ROUNDUP(UsageProfiles[[#This Row],[Buffer]]*_xlfn.XLOOKUP(UsageProfiles[[#This Row],[Profile]], DemandProfile[Profile], DemandProfile[Multiplier]),0)</f>
        <v>1</v>
      </c>
      <c r="N17" s="8">
        <f>ROUNDUP(UsageProfiles[[#This Row],[Weekly_Usage]]+UsageProfiles[[#This Row],[Adjusted_Buffer]],1)</f>
        <v>8.1999999999999993</v>
      </c>
    </row>
    <row r="18" spans="1:14" x14ac:dyDescent="0.3">
      <c r="A18" t="s">
        <v>102</v>
      </c>
      <c r="B18" s="4" t="s">
        <v>74</v>
      </c>
      <c r="C18" s="4">
        <v>700</v>
      </c>
      <c r="D18" s="8">
        <f>D17 * _xlfn.XLOOKUP("Normal", DemandProfile[Profile], DemandProfile[Multiplier])</f>
        <v>0.89249999999999996</v>
      </c>
      <c r="E18" s="8">
        <f>E17 * _xlfn.XLOOKUP("Normal", DemandProfile[Profile], DemandProfile[Multiplier])</f>
        <v>0.89249999999999996</v>
      </c>
      <c r="F18" s="8">
        <f>F17 * _xlfn.XLOOKUP("Normal", DemandProfile[Profile], DemandProfile[Multiplier])</f>
        <v>0.89249999999999996</v>
      </c>
      <c r="G18" s="8">
        <f>G17 * _xlfn.XLOOKUP("Normal", DemandProfile[Profile], DemandProfile[Multiplier])</f>
        <v>1.2075</v>
      </c>
      <c r="H18" s="8">
        <f>H17 * _xlfn.XLOOKUP("Normal", DemandProfile[Profile], DemandProfile[Multiplier])</f>
        <v>1.2075</v>
      </c>
      <c r="I18" s="8">
        <f>I17 * _xlfn.XLOOKUP("Normal", DemandProfile[Profile], DemandProfile[Multiplier])</f>
        <v>1.2075</v>
      </c>
      <c r="J18" s="8">
        <f>J17 * _xlfn.XLOOKUP("Normal", DemandProfile[Profile], DemandProfile[Multiplier])</f>
        <v>1.2075</v>
      </c>
      <c r="K18" s="8">
        <f>K17</f>
        <v>1</v>
      </c>
      <c r="L18" s="8">
        <f>UsageProfiles[[#This Row],[Mon]]+UsageProfiles[[#This Row],[Tue]]+UsageProfiles[[#This Row],[Wed]]+UsageProfiles[[#This Row],[Thu]]+UsageProfiles[[#This Row],[Fri]]+UsageProfiles[[#This Row],[Sat]]+UsageProfiles[[#This Row],[Sun]]</f>
        <v>7.5074999999999985</v>
      </c>
      <c r="M18" s="8">
        <f>ROUNDUP(UsageProfiles[[#This Row],[Buffer]]*_xlfn.XLOOKUP(UsageProfiles[[#This Row],[Profile]], DemandProfile[Profile], DemandProfile[Multiplier]),0)</f>
        <v>2</v>
      </c>
      <c r="N18" s="8">
        <f>ROUNDUP(UsageProfiles[[#This Row],[Weekly_Usage]]+UsageProfiles[[#This Row],[Adjusted_Buffer]],1)</f>
        <v>9.6</v>
      </c>
    </row>
    <row r="19" spans="1:14" x14ac:dyDescent="0.3">
      <c r="A19" t="s">
        <v>102</v>
      </c>
      <c r="B19" s="4" t="s">
        <v>75</v>
      </c>
      <c r="C19" s="4">
        <v>700</v>
      </c>
      <c r="D19" s="8">
        <f>D17 * _xlfn.XLOOKUP("High", DemandProfile[Profile], DemandProfile[Multiplier])</f>
        <v>0.97749999999999992</v>
      </c>
      <c r="E19" s="8">
        <f>E17 * _xlfn.XLOOKUP("High", DemandProfile[Profile], DemandProfile[Multiplier])</f>
        <v>0.97749999999999992</v>
      </c>
      <c r="F19" s="8">
        <f>F17 * _xlfn.XLOOKUP("High", DemandProfile[Profile], DemandProfile[Multiplier])</f>
        <v>0.97749999999999992</v>
      </c>
      <c r="G19" s="8">
        <f>G17 * _xlfn.XLOOKUP("High", DemandProfile[Profile], DemandProfile[Multiplier])</f>
        <v>1.3224999999999998</v>
      </c>
      <c r="H19" s="8">
        <f>H17 * _xlfn.XLOOKUP("High", DemandProfile[Profile], DemandProfile[Multiplier])</f>
        <v>1.3224999999999998</v>
      </c>
      <c r="I19" s="8">
        <f>I17 * _xlfn.XLOOKUP("High", DemandProfile[Profile], DemandProfile[Multiplier])</f>
        <v>1.3224999999999998</v>
      </c>
      <c r="J19" s="8">
        <f>J17 * _xlfn.XLOOKUP("High", DemandProfile[Profile], DemandProfile[Multiplier])</f>
        <v>1.3224999999999998</v>
      </c>
      <c r="K19" s="8">
        <f>K17</f>
        <v>1</v>
      </c>
      <c r="L19" s="8">
        <f>UsageProfiles[[#This Row],[Mon]]+UsageProfiles[[#This Row],[Tue]]+UsageProfiles[[#This Row],[Wed]]+UsageProfiles[[#This Row],[Thu]]+UsageProfiles[[#This Row],[Fri]]+UsageProfiles[[#This Row],[Sat]]+UsageProfiles[[#This Row],[Sun]]</f>
        <v>8.2224999999999984</v>
      </c>
      <c r="M19" s="8">
        <f>ROUNDUP(UsageProfiles[[#This Row],[Buffer]]*_xlfn.XLOOKUP(UsageProfiles[[#This Row],[Profile]], DemandProfile[Profile], DemandProfile[Multiplier]),0)</f>
        <v>2</v>
      </c>
      <c r="N19" s="8">
        <f>ROUNDUP(UsageProfiles[[#This Row],[Weekly_Usage]]+UsageProfiles[[#This Row],[Adjusted_Buffer]],1)</f>
        <v>10.299999999999999</v>
      </c>
    </row>
    <row r="20" spans="1:14" x14ac:dyDescent="0.3">
      <c r="A20" s="7" t="s">
        <v>103</v>
      </c>
      <c r="B20" s="4" t="s">
        <v>73</v>
      </c>
      <c r="C20" s="4">
        <v>1050</v>
      </c>
      <c r="D20" s="8">
        <v>2</v>
      </c>
      <c r="E20" s="8">
        <v>2</v>
      </c>
      <c r="F20" s="8">
        <v>2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f>UsageProfiles[[#This Row],[Mon]]+UsageProfiles[[#This Row],[Tue]]+UsageProfiles[[#This Row],[Wed]]+UsageProfiles[[#This Row],[Thu]]+UsageProfiles[[#This Row],[Fri]]+UsageProfiles[[#This Row],[Sat]]+UsageProfiles[[#This Row],[Sun]]</f>
        <v>18</v>
      </c>
      <c r="M20" s="8">
        <f>ROUNDUP(UsageProfiles[[#This Row],[Buffer]]*_xlfn.XLOOKUP(UsageProfiles[[#This Row],[Profile]], DemandProfile[Profile], DemandProfile[Multiplier]),0)</f>
        <v>3</v>
      </c>
      <c r="N20" s="8">
        <f>ROUNDUP(UsageProfiles[[#This Row],[Weekly_Usage]]+UsageProfiles[[#This Row],[Adjusted_Buffer]],1)</f>
        <v>21</v>
      </c>
    </row>
    <row r="21" spans="1:14" x14ac:dyDescent="0.3">
      <c r="A21" s="7" t="s">
        <v>103</v>
      </c>
      <c r="B21" s="4" t="s">
        <v>74</v>
      </c>
      <c r="C21" s="4">
        <v>1050</v>
      </c>
      <c r="D21" s="8">
        <f>D20 * _xlfn.XLOOKUP("Normal", DemandProfile[Profile], DemandProfile[Multiplier])</f>
        <v>2.1</v>
      </c>
      <c r="E21" s="8">
        <f>E20 * _xlfn.XLOOKUP("Normal", DemandProfile[Profile], DemandProfile[Multiplier])</f>
        <v>2.1</v>
      </c>
      <c r="F21" s="8">
        <f>F20 * _xlfn.XLOOKUP("Normal", DemandProfile[Profile], DemandProfile[Multiplier])</f>
        <v>2.1</v>
      </c>
      <c r="G21" s="8">
        <f>G20 * _xlfn.XLOOKUP("Normal", DemandProfile[Profile], DemandProfile[Multiplier])</f>
        <v>3.1500000000000004</v>
      </c>
      <c r="H21" s="8">
        <f>H20 * _xlfn.XLOOKUP("Normal", DemandProfile[Profile], DemandProfile[Multiplier])</f>
        <v>3.1500000000000004</v>
      </c>
      <c r="I21" s="8">
        <f>I20 * _xlfn.XLOOKUP("Normal", DemandProfile[Profile], DemandProfile[Multiplier])</f>
        <v>3.1500000000000004</v>
      </c>
      <c r="J21" s="8">
        <f>J20 * _xlfn.XLOOKUP("Normal", DemandProfile[Profile], DemandProfile[Multiplier])</f>
        <v>3.1500000000000004</v>
      </c>
      <c r="K21" s="8">
        <f>K20</f>
        <v>3</v>
      </c>
      <c r="L21" s="8">
        <f>UsageProfiles[[#This Row],[Mon]]+UsageProfiles[[#This Row],[Tue]]+UsageProfiles[[#This Row],[Wed]]+UsageProfiles[[#This Row],[Thu]]+UsageProfiles[[#This Row],[Fri]]+UsageProfiles[[#This Row],[Sat]]+UsageProfiles[[#This Row],[Sun]]</f>
        <v>18.900000000000002</v>
      </c>
      <c r="M21" s="8">
        <f>ROUNDUP(UsageProfiles[[#This Row],[Buffer]]*_xlfn.XLOOKUP(UsageProfiles[[#This Row],[Profile]], DemandProfile[Profile], DemandProfile[Multiplier]),0)</f>
        <v>4</v>
      </c>
      <c r="N21" s="8">
        <f>ROUNDUP(UsageProfiles[[#This Row],[Weekly_Usage]]+UsageProfiles[[#This Row],[Adjusted_Buffer]],1)</f>
        <v>22.9</v>
      </c>
    </row>
    <row r="22" spans="1:14" x14ac:dyDescent="0.3">
      <c r="A22" s="7" t="s">
        <v>103</v>
      </c>
      <c r="B22" s="4" t="s">
        <v>75</v>
      </c>
      <c r="C22" s="4">
        <v>1050</v>
      </c>
      <c r="D22" s="8">
        <f>D20 * _xlfn.XLOOKUP("High", DemandProfile[Profile], DemandProfile[Multiplier])</f>
        <v>2.2999999999999998</v>
      </c>
      <c r="E22" s="8">
        <f>E20 * _xlfn.XLOOKUP("High", DemandProfile[Profile], DemandProfile[Multiplier])</f>
        <v>2.2999999999999998</v>
      </c>
      <c r="F22" s="8">
        <f>F20 * _xlfn.XLOOKUP("High", DemandProfile[Profile], DemandProfile[Multiplier])</f>
        <v>2.2999999999999998</v>
      </c>
      <c r="G22" s="8">
        <f>G20 * _xlfn.XLOOKUP("High", DemandProfile[Profile], DemandProfile[Multiplier])</f>
        <v>3.4499999999999997</v>
      </c>
      <c r="H22" s="8">
        <f>H20 * _xlfn.XLOOKUP("High", DemandProfile[Profile], DemandProfile[Multiplier])</f>
        <v>3.4499999999999997</v>
      </c>
      <c r="I22" s="8">
        <f>I20 * _xlfn.XLOOKUP("High", DemandProfile[Profile], DemandProfile[Multiplier])</f>
        <v>3.4499999999999997</v>
      </c>
      <c r="J22" s="8">
        <f>J20 * _xlfn.XLOOKUP("High", DemandProfile[Profile], DemandProfile[Multiplier])</f>
        <v>3.4499999999999997</v>
      </c>
      <c r="K22" s="8">
        <f>K20</f>
        <v>3</v>
      </c>
      <c r="L22" s="8">
        <f>UsageProfiles[[#This Row],[Mon]]+UsageProfiles[[#This Row],[Tue]]+UsageProfiles[[#This Row],[Wed]]+UsageProfiles[[#This Row],[Thu]]+UsageProfiles[[#This Row],[Fri]]+UsageProfiles[[#This Row],[Sat]]+UsageProfiles[[#This Row],[Sun]]</f>
        <v>20.7</v>
      </c>
      <c r="M22" s="8">
        <f>ROUNDUP(UsageProfiles[[#This Row],[Buffer]]*_xlfn.XLOOKUP(UsageProfiles[[#This Row],[Profile]], DemandProfile[Profile], DemandProfile[Multiplier]),0)</f>
        <v>4</v>
      </c>
      <c r="N22" s="8">
        <f>ROUNDUP(UsageProfiles[[#This Row],[Weekly_Usage]]+UsageProfiles[[#This Row],[Adjusted_Buffer]],1)</f>
        <v>24.7</v>
      </c>
    </row>
    <row r="23" spans="1:14" x14ac:dyDescent="0.3">
      <c r="A23" s="7" t="s">
        <v>104</v>
      </c>
      <c r="B23" s="4" t="s">
        <v>73</v>
      </c>
      <c r="C23" s="4">
        <v>400</v>
      </c>
      <c r="D23" s="8">
        <v>0.65</v>
      </c>
      <c r="E23" s="8">
        <v>0.65</v>
      </c>
      <c r="F23" s="8">
        <v>0.65</v>
      </c>
      <c r="G23" s="8">
        <v>0.65</v>
      </c>
      <c r="H23" s="8">
        <v>0.65</v>
      </c>
      <c r="I23" s="8">
        <v>0.65</v>
      </c>
      <c r="J23" s="8">
        <v>0.65</v>
      </c>
      <c r="K23" s="8">
        <v>1</v>
      </c>
      <c r="L23" s="8">
        <f>UsageProfiles[[#This Row],[Mon]]+UsageProfiles[[#This Row],[Tue]]+UsageProfiles[[#This Row],[Wed]]+UsageProfiles[[#This Row],[Thu]]+UsageProfiles[[#This Row],[Fri]]+UsageProfiles[[#This Row],[Sat]]+UsageProfiles[[#This Row],[Sun]]</f>
        <v>4.55</v>
      </c>
      <c r="M23" s="8">
        <f>ROUNDUP(UsageProfiles[[#This Row],[Buffer]]*_xlfn.XLOOKUP(UsageProfiles[[#This Row],[Profile]], DemandProfile[Profile], DemandProfile[Multiplier]),0)</f>
        <v>1</v>
      </c>
      <c r="N23" s="8">
        <f>ROUNDUP(UsageProfiles[[#This Row],[Weekly_Usage]]+UsageProfiles[[#This Row],[Adjusted_Buffer]],1)</f>
        <v>5.6</v>
      </c>
    </row>
    <row r="24" spans="1:14" x14ac:dyDescent="0.3">
      <c r="A24" s="7" t="s">
        <v>104</v>
      </c>
      <c r="B24" s="4" t="s">
        <v>74</v>
      </c>
      <c r="C24" s="4">
        <v>400</v>
      </c>
      <c r="D24" s="8">
        <f>D23 * _xlfn.XLOOKUP("Normal", DemandProfile[Profile], DemandProfile[Multiplier])</f>
        <v>0.68250000000000011</v>
      </c>
      <c r="E24" s="8">
        <f>E23 * _xlfn.XLOOKUP("Normal", DemandProfile[Profile], DemandProfile[Multiplier])</f>
        <v>0.68250000000000011</v>
      </c>
      <c r="F24" s="8">
        <f>F23 * _xlfn.XLOOKUP("Normal", DemandProfile[Profile], DemandProfile[Multiplier])</f>
        <v>0.68250000000000011</v>
      </c>
      <c r="G24" s="8">
        <f>G23 * _xlfn.XLOOKUP("Normal", DemandProfile[Profile], DemandProfile[Multiplier])</f>
        <v>0.68250000000000011</v>
      </c>
      <c r="H24" s="8">
        <f>H23 * _xlfn.XLOOKUP("Normal", DemandProfile[Profile], DemandProfile[Multiplier])</f>
        <v>0.68250000000000011</v>
      </c>
      <c r="I24" s="8">
        <f>I23 * _xlfn.XLOOKUP("Normal", DemandProfile[Profile], DemandProfile[Multiplier])</f>
        <v>0.68250000000000011</v>
      </c>
      <c r="J24" s="8">
        <f>J23 * _xlfn.XLOOKUP("Normal", DemandProfile[Profile], DemandProfile[Multiplier])</f>
        <v>0.68250000000000011</v>
      </c>
      <c r="K24" s="8">
        <f>K23</f>
        <v>1</v>
      </c>
      <c r="L24" s="8">
        <f>UsageProfiles[[#This Row],[Mon]]+UsageProfiles[[#This Row],[Tue]]+UsageProfiles[[#This Row],[Wed]]+UsageProfiles[[#This Row],[Thu]]+UsageProfiles[[#This Row],[Fri]]+UsageProfiles[[#This Row],[Sat]]+UsageProfiles[[#This Row],[Sun]]</f>
        <v>4.7775000000000007</v>
      </c>
      <c r="M24" s="8">
        <f>ROUNDUP(UsageProfiles[[#This Row],[Buffer]]*_xlfn.XLOOKUP(UsageProfiles[[#This Row],[Profile]], DemandProfile[Profile], DemandProfile[Multiplier]),0)</f>
        <v>2</v>
      </c>
      <c r="N24" s="8">
        <f>ROUNDUP(UsageProfiles[[#This Row],[Weekly_Usage]]+UsageProfiles[[#This Row],[Adjusted_Buffer]],1)</f>
        <v>6.8</v>
      </c>
    </row>
    <row r="25" spans="1:14" x14ac:dyDescent="0.3">
      <c r="A25" s="7" t="s">
        <v>104</v>
      </c>
      <c r="B25" s="4" t="s">
        <v>75</v>
      </c>
      <c r="C25" s="4">
        <v>400</v>
      </c>
      <c r="D25" s="8">
        <f>D23 * _xlfn.XLOOKUP("High", DemandProfile[Profile], DemandProfile[Multiplier])</f>
        <v>0.74749999999999994</v>
      </c>
      <c r="E25" s="8">
        <f>E23 * _xlfn.XLOOKUP("High", DemandProfile[Profile], DemandProfile[Multiplier])</f>
        <v>0.74749999999999994</v>
      </c>
      <c r="F25" s="8">
        <f>F23 * _xlfn.XLOOKUP("High", DemandProfile[Profile], DemandProfile[Multiplier])</f>
        <v>0.74749999999999994</v>
      </c>
      <c r="G25" s="8">
        <f>G23 * _xlfn.XLOOKUP("High", DemandProfile[Profile], DemandProfile[Multiplier])</f>
        <v>0.74749999999999994</v>
      </c>
      <c r="H25" s="8">
        <f>H23 * _xlfn.XLOOKUP("High", DemandProfile[Profile], DemandProfile[Multiplier])</f>
        <v>0.74749999999999994</v>
      </c>
      <c r="I25" s="8">
        <f>I23 * _xlfn.XLOOKUP("High", DemandProfile[Profile], DemandProfile[Multiplier])</f>
        <v>0.74749999999999994</v>
      </c>
      <c r="J25" s="8">
        <f>J23 * _xlfn.XLOOKUP("High", DemandProfile[Profile], DemandProfile[Multiplier])</f>
        <v>0.74749999999999994</v>
      </c>
      <c r="K25" s="8">
        <f>K23</f>
        <v>1</v>
      </c>
      <c r="L25" s="8">
        <f>UsageProfiles[[#This Row],[Mon]]+UsageProfiles[[#This Row],[Tue]]+UsageProfiles[[#This Row],[Wed]]+UsageProfiles[[#This Row],[Thu]]+UsageProfiles[[#This Row],[Fri]]+UsageProfiles[[#This Row],[Sat]]+UsageProfiles[[#This Row],[Sun]]</f>
        <v>5.232499999999999</v>
      </c>
      <c r="M25" s="8">
        <f>ROUNDUP(UsageProfiles[[#This Row],[Buffer]]*_xlfn.XLOOKUP(UsageProfiles[[#This Row],[Profile]], DemandProfile[Profile], DemandProfile[Multiplier]),0)</f>
        <v>2</v>
      </c>
      <c r="N25" s="8">
        <f>ROUNDUP(UsageProfiles[[#This Row],[Weekly_Usage]]+UsageProfiles[[#This Row],[Adjusted_Buffer]],1)</f>
        <v>7.3</v>
      </c>
    </row>
    <row r="26" spans="1:14" x14ac:dyDescent="0.3">
      <c r="A26" s="7" t="s">
        <v>105</v>
      </c>
      <c r="B26" s="4" t="s">
        <v>73</v>
      </c>
      <c r="C26" s="4">
        <v>0</v>
      </c>
      <c r="D26" s="8">
        <v>0.5</v>
      </c>
      <c r="E26" s="8">
        <v>0.5</v>
      </c>
      <c r="F26" s="8">
        <v>0.5</v>
      </c>
      <c r="G26" s="8">
        <v>0.5</v>
      </c>
      <c r="H26" s="8">
        <v>0.5</v>
      </c>
      <c r="I26" s="8">
        <v>0.5</v>
      </c>
      <c r="J26" s="8">
        <v>0.5</v>
      </c>
      <c r="K26" s="8">
        <v>0</v>
      </c>
      <c r="L26" s="8">
        <f>UsageProfiles[[#This Row],[Mon]]+UsageProfiles[[#This Row],[Tue]]+UsageProfiles[[#This Row],[Wed]]+UsageProfiles[[#This Row],[Thu]]+UsageProfiles[[#This Row],[Fri]]+UsageProfiles[[#This Row],[Sat]]+UsageProfiles[[#This Row],[Sun]]</f>
        <v>3.5</v>
      </c>
      <c r="M26" s="8">
        <f>ROUNDUP(UsageProfiles[[#This Row],[Buffer]]*_xlfn.XLOOKUP(UsageProfiles[[#This Row],[Profile]], DemandProfile[Profile], DemandProfile[Multiplier]),0)</f>
        <v>0</v>
      </c>
      <c r="N26" s="8">
        <f>ROUNDUP(UsageProfiles[[#This Row],[Weekly_Usage]]+UsageProfiles[[#This Row],[Adjusted_Buffer]],1)</f>
        <v>3.5</v>
      </c>
    </row>
    <row r="27" spans="1:14" x14ac:dyDescent="0.3">
      <c r="A27" s="7" t="s">
        <v>105</v>
      </c>
      <c r="B27" s="4" t="s">
        <v>74</v>
      </c>
      <c r="C27" s="4">
        <v>0</v>
      </c>
      <c r="D27" s="8">
        <f>D26 * _xlfn.XLOOKUP("Normal", DemandProfile[Profile], DemandProfile[Multiplier])</f>
        <v>0.52500000000000002</v>
      </c>
      <c r="E27" s="8">
        <f>E26 * _xlfn.XLOOKUP("Normal", DemandProfile[Profile], DemandProfile[Multiplier])</f>
        <v>0.52500000000000002</v>
      </c>
      <c r="F27" s="8">
        <f>F26 * _xlfn.XLOOKUP("Normal", DemandProfile[Profile], DemandProfile[Multiplier])</f>
        <v>0.52500000000000002</v>
      </c>
      <c r="G27" s="8">
        <f>G26 * _xlfn.XLOOKUP("Normal", DemandProfile[Profile], DemandProfile[Multiplier])</f>
        <v>0.52500000000000002</v>
      </c>
      <c r="H27" s="8">
        <f>H26 * _xlfn.XLOOKUP("Normal", DemandProfile[Profile], DemandProfile[Multiplier])</f>
        <v>0.52500000000000002</v>
      </c>
      <c r="I27" s="8">
        <f>I26 * _xlfn.XLOOKUP("Normal", DemandProfile[Profile], DemandProfile[Multiplier])</f>
        <v>0.52500000000000002</v>
      </c>
      <c r="J27" s="8">
        <f>J26 * _xlfn.XLOOKUP("Normal", DemandProfile[Profile], DemandProfile[Multiplier])</f>
        <v>0.52500000000000002</v>
      </c>
      <c r="K27" s="8">
        <f>K26</f>
        <v>0</v>
      </c>
      <c r="L27" s="8">
        <f>UsageProfiles[[#This Row],[Mon]]+UsageProfiles[[#This Row],[Tue]]+UsageProfiles[[#This Row],[Wed]]+UsageProfiles[[#This Row],[Thu]]+UsageProfiles[[#This Row],[Fri]]+UsageProfiles[[#This Row],[Sat]]+UsageProfiles[[#This Row],[Sun]]</f>
        <v>3.6749999999999998</v>
      </c>
      <c r="M27" s="8">
        <f>ROUNDUP(UsageProfiles[[#This Row],[Buffer]]*_xlfn.XLOOKUP(UsageProfiles[[#This Row],[Profile]], DemandProfile[Profile], DemandProfile[Multiplier]),0)</f>
        <v>0</v>
      </c>
      <c r="N27" s="8">
        <f>ROUNDUP(UsageProfiles[[#This Row],[Weekly_Usage]]+UsageProfiles[[#This Row],[Adjusted_Buffer]],1)</f>
        <v>3.7</v>
      </c>
    </row>
    <row r="28" spans="1:14" x14ac:dyDescent="0.3">
      <c r="A28" s="7" t="s">
        <v>105</v>
      </c>
      <c r="B28" s="4" t="s">
        <v>75</v>
      </c>
      <c r="C28" s="4">
        <v>0</v>
      </c>
      <c r="D28" s="8">
        <f>D26 * _xlfn.XLOOKUP("High", DemandProfile[Profile], DemandProfile[Multiplier])</f>
        <v>0.57499999999999996</v>
      </c>
      <c r="E28" s="8">
        <f>E26 * _xlfn.XLOOKUP("High", DemandProfile[Profile], DemandProfile[Multiplier])</f>
        <v>0.57499999999999996</v>
      </c>
      <c r="F28" s="8">
        <f>F26 * _xlfn.XLOOKUP("High", DemandProfile[Profile], DemandProfile[Multiplier])</f>
        <v>0.57499999999999996</v>
      </c>
      <c r="G28" s="8">
        <f>G26 * _xlfn.XLOOKUP("High", DemandProfile[Profile], DemandProfile[Multiplier])</f>
        <v>0.57499999999999996</v>
      </c>
      <c r="H28" s="8">
        <f>H26 * _xlfn.XLOOKUP("High", DemandProfile[Profile], DemandProfile[Multiplier])</f>
        <v>0.57499999999999996</v>
      </c>
      <c r="I28" s="8">
        <f>I26 * _xlfn.XLOOKUP("High", DemandProfile[Profile], DemandProfile[Multiplier])</f>
        <v>0.57499999999999996</v>
      </c>
      <c r="J28" s="8">
        <f>J26 * _xlfn.XLOOKUP("High", DemandProfile[Profile], DemandProfile[Multiplier])</f>
        <v>0.57499999999999996</v>
      </c>
      <c r="K28" s="8">
        <f>K26</f>
        <v>0</v>
      </c>
      <c r="L28" s="8">
        <f>UsageProfiles[[#This Row],[Mon]]+UsageProfiles[[#This Row],[Tue]]+UsageProfiles[[#This Row],[Wed]]+UsageProfiles[[#This Row],[Thu]]+UsageProfiles[[#This Row],[Fri]]+UsageProfiles[[#This Row],[Sat]]+UsageProfiles[[#This Row],[Sun]]</f>
        <v>4.0250000000000004</v>
      </c>
      <c r="M28" s="8">
        <f>ROUNDUP(UsageProfiles[[#This Row],[Buffer]]*_xlfn.XLOOKUP(UsageProfiles[[#This Row],[Profile]], DemandProfile[Profile], DemandProfile[Multiplier]),0)</f>
        <v>0</v>
      </c>
      <c r="N28" s="8">
        <f>ROUNDUP(UsageProfiles[[#This Row],[Weekly_Usage]]+UsageProfiles[[#This Row],[Adjusted_Buffer]],1)</f>
        <v>4.0999999999999996</v>
      </c>
    </row>
    <row r="29" spans="1:14" x14ac:dyDescent="0.3">
      <c r="A29" s="7" t="s">
        <v>106</v>
      </c>
      <c r="B29" s="4" t="s">
        <v>73</v>
      </c>
      <c r="C29" s="4">
        <v>0</v>
      </c>
      <c r="D29" s="8">
        <v>0.5</v>
      </c>
      <c r="E29" s="8">
        <v>0.5</v>
      </c>
      <c r="F29" s="8">
        <v>0.5</v>
      </c>
      <c r="G29" s="8">
        <v>0.5</v>
      </c>
      <c r="H29" s="8">
        <v>0.5</v>
      </c>
      <c r="I29" s="8">
        <v>0.5</v>
      </c>
      <c r="J29" s="8">
        <v>0.5</v>
      </c>
      <c r="K29" s="8">
        <v>0</v>
      </c>
      <c r="L29" s="8">
        <f>UsageProfiles[[#This Row],[Mon]]+UsageProfiles[[#This Row],[Tue]]+UsageProfiles[[#This Row],[Wed]]+UsageProfiles[[#This Row],[Thu]]+UsageProfiles[[#This Row],[Fri]]+UsageProfiles[[#This Row],[Sat]]+UsageProfiles[[#This Row],[Sun]]</f>
        <v>3.5</v>
      </c>
      <c r="M29" s="8">
        <f>ROUNDUP(UsageProfiles[[#This Row],[Buffer]]*_xlfn.XLOOKUP(UsageProfiles[[#This Row],[Profile]], DemandProfile[Profile], DemandProfile[Multiplier]),0)</f>
        <v>0</v>
      </c>
      <c r="N29" s="8">
        <f>ROUNDUP(UsageProfiles[[#This Row],[Weekly_Usage]]+UsageProfiles[[#This Row],[Adjusted_Buffer]],1)</f>
        <v>3.5</v>
      </c>
    </row>
    <row r="30" spans="1:14" x14ac:dyDescent="0.3">
      <c r="A30" s="7" t="s">
        <v>106</v>
      </c>
      <c r="B30" s="4" t="s">
        <v>74</v>
      </c>
      <c r="C30" s="4">
        <v>0</v>
      </c>
      <c r="D30" s="8">
        <f>D29 * _xlfn.XLOOKUP("Normal", DemandProfile[Profile], DemandProfile[Multiplier])</f>
        <v>0.52500000000000002</v>
      </c>
      <c r="E30" s="8">
        <f>E29 * _xlfn.XLOOKUP("Normal", DemandProfile[Profile], DemandProfile[Multiplier])</f>
        <v>0.52500000000000002</v>
      </c>
      <c r="F30" s="8">
        <f>F29 * _xlfn.XLOOKUP("Normal", DemandProfile[Profile], DemandProfile[Multiplier])</f>
        <v>0.52500000000000002</v>
      </c>
      <c r="G30" s="8">
        <f>G29 * _xlfn.XLOOKUP("Normal", DemandProfile[Profile], DemandProfile[Multiplier])</f>
        <v>0.52500000000000002</v>
      </c>
      <c r="H30" s="8">
        <f>H29 * _xlfn.XLOOKUP("Normal", DemandProfile[Profile], DemandProfile[Multiplier])</f>
        <v>0.52500000000000002</v>
      </c>
      <c r="I30" s="8">
        <f>I29 * _xlfn.XLOOKUP("Normal", DemandProfile[Profile], DemandProfile[Multiplier])</f>
        <v>0.52500000000000002</v>
      </c>
      <c r="J30" s="8">
        <f>J29 * _xlfn.XLOOKUP("Normal", DemandProfile[Profile], DemandProfile[Multiplier])</f>
        <v>0.52500000000000002</v>
      </c>
      <c r="K30" s="8">
        <f>K29</f>
        <v>0</v>
      </c>
      <c r="L30" s="8">
        <f>UsageProfiles[[#This Row],[Mon]]+UsageProfiles[[#This Row],[Tue]]+UsageProfiles[[#This Row],[Wed]]+UsageProfiles[[#This Row],[Thu]]+UsageProfiles[[#This Row],[Fri]]+UsageProfiles[[#This Row],[Sat]]+UsageProfiles[[#This Row],[Sun]]</f>
        <v>3.6749999999999998</v>
      </c>
      <c r="M30" s="8">
        <f>ROUNDUP(UsageProfiles[[#This Row],[Buffer]]*_xlfn.XLOOKUP(UsageProfiles[[#This Row],[Profile]], DemandProfile[Profile], DemandProfile[Multiplier]),0)</f>
        <v>0</v>
      </c>
      <c r="N30" s="8">
        <f>ROUNDUP(UsageProfiles[[#This Row],[Weekly_Usage]]+UsageProfiles[[#This Row],[Adjusted_Buffer]],1)</f>
        <v>3.7</v>
      </c>
    </row>
    <row r="31" spans="1:14" x14ac:dyDescent="0.3">
      <c r="A31" s="7" t="s">
        <v>106</v>
      </c>
      <c r="B31" s="4" t="s">
        <v>75</v>
      </c>
      <c r="C31" s="4">
        <v>0</v>
      </c>
      <c r="D31" s="8">
        <f>D29 * _xlfn.XLOOKUP("High", DemandProfile[Profile], DemandProfile[Multiplier])</f>
        <v>0.57499999999999996</v>
      </c>
      <c r="E31" s="8">
        <f>E29 * _xlfn.XLOOKUP("High", DemandProfile[Profile], DemandProfile[Multiplier])</f>
        <v>0.57499999999999996</v>
      </c>
      <c r="F31" s="8">
        <f>F29 * _xlfn.XLOOKUP("High", DemandProfile[Profile], DemandProfile[Multiplier])</f>
        <v>0.57499999999999996</v>
      </c>
      <c r="G31" s="8">
        <f>G29 * _xlfn.XLOOKUP("High", DemandProfile[Profile], DemandProfile[Multiplier])</f>
        <v>0.57499999999999996</v>
      </c>
      <c r="H31" s="8">
        <f>H29 * _xlfn.XLOOKUP("High", DemandProfile[Profile], DemandProfile[Multiplier])</f>
        <v>0.57499999999999996</v>
      </c>
      <c r="I31" s="8">
        <f>I29 * _xlfn.XLOOKUP("High", DemandProfile[Profile], DemandProfile[Multiplier])</f>
        <v>0.57499999999999996</v>
      </c>
      <c r="J31" s="8">
        <f>J29 * _xlfn.XLOOKUP("High", DemandProfile[Profile], DemandProfile[Multiplier])</f>
        <v>0.57499999999999996</v>
      </c>
      <c r="K31" s="8">
        <f>K29</f>
        <v>0</v>
      </c>
      <c r="L31" s="8">
        <f>UsageProfiles[[#This Row],[Mon]]+UsageProfiles[[#This Row],[Tue]]+UsageProfiles[[#This Row],[Wed]]+UsageProfiles[[#This Row],[Thu]]+UsageProfiles[[#This Row],[Fri]]+UsageProfiles[[#This Row],[Sat]]+UsageProfiles[[#This Row],[Sun]]</f>
        <v>4.0250000000000004</v>
      </c>
      <c r="M31" s="8">
        <f>ROUNDUP(UsageProfiles[[#This Row],[Buffer]]*_xlfn.XLOOKUP(UsageProfiles[[#This Row],[Profile]], DemandProfile[Profile], DemandProfile[Multiplier]),0)</f>
        <v>0</v>
      </c>
      <c r="N31" s="8">
        <f>ROUNDUP(UsageProfiles[[#This Row],[Weekly_Usage]]+UsageProfiles[[#This Row],[Adjusted_Buffer]],1)</f>
        <v>4.0999999999999996</v>
      </c>
    </row>
    <row r="32" spans="1:14" x14ac:dyDescent="0.3">
      <c r="A32" s="7" t="s">
        <v>107</v>
      </c>
      <c r="B32" s="4" t="s">
        <v>73</v>
      </c>
      <c r="C32" s="4">
        <v>0</v>
      </c>
      <c r="D32" s="8">
        <v>0.5</v>
      </c>
      <c r="E32" s="8">
        <v>0.5</v>
      </c>
      <c r="F32" s="8">
        <v>0.5</v>
      </c>
      <c r="G32" s="8">
        <v>0.5</v>
      </c>
      <c r="H32" s="8">
        <v>0.5</v>
      </c>
      <c r="I32" s="8">
        <v>0.5</v>
      </c>
      <c r="J32" s="8">
        <v>0.5</v>
      </c>
      <c r="K32" s="8">
        <v>0</v>
      </c>
      <c r="L32" s="8">
        <f>UsageProfiles[[#This Row],[Mon]]+UsageProfiles[[#This Row],[Tue]]+UsageProfiles[[#This Row],[Wed]]+UsageProfiles[[#This Row],[Thu]]+UsageProfiles[[#This Row],[Fri]]+UsageProfiles[[#This Row],[Sat]]+UsageProfiles[[#This Row],[Sun]]</f>
        <v>3.5</v>
      </c>
      <c r="M32" s="8">
        <f>ROUNDUP(UsageProfiles[[#This Row],[Buffer]]*_xlfn.XLOOKUP(UsageProfiles[[#This Row],[Profile]], DemandProfile[Profile], DemandProfile[Multiplier]),0)</f>
        <v>0</v>
      </c>
      <c r="N32" s="8">
        <f>ROUNDUP(UsageProfiles[[#This Row],[Weekly_Usage]]+UsageProfiles[[#This Row],[Adjusted_Buffer]],1)</f>
        <v>3.5</v>
      </c>
    </row>
    <row r="33" spans="1:14" x14ac:dyDescent="0.3">
      <c r="A33" s="7" t="s">
        <v>107</v>
      </c>
      <c r="B33" s="4" t="s">
        <v>74</v>
      </c>
      <c r="C33" s="4">
        <v>0</v>
      </c>
      <c r="D33" s="8">
        <f>D32 * _xlfn.XLOOKUP("Normal", DemandProfile[Profile], DemandProfile[Multiplier])</f>
        <v>0.52500000000000002</v>
      </c>
      <c r="E33" s="8">
        <f>E32 * _xlfn.XLOOKUP("Normal", DemandProfile[Profile], DemandProfile[Multiplier])</f>
        <v>0.52500000000000002</v>
      </c>
      <c r="F33" s="8">
        <f>F32 * _xlfn.XLOOKUP("Normal", DemandProfile[Profile], DemandProfile[Multiplier])</f>
        <v>0.52500000000000002</v>
      </c>
      <c r="G33" s="8">
        <f>G32 * _xlfn.XLOOKUP("Normal", DemandProfile[Profile], DemandProfile[Multiplier])</f>
        <v>0.52500000000000002</v>
      </c>
      <c r="H33" s="8">
        <f>H32 * _xlfn.XLOOKUP("Normal", DemandProfile[Profile], DemandProfile[Multiplier])</f>
        <v>0.52500000000000002</v>
      </c>
      <c r="I33" s="8">
        <f>I32 * _xlfn.XLOOKUP("Normal", DemandProfile[Profile], DemandProfile[Multiplier])</f>
        <v>0.52500000000000002</v>
      </c>
      <c r="J33" s="8">
        <f>J32 * _xlfn.XLOOKUP("Normal", DemandProfile[Profile], DemandProfile[Multiplier])</f>
        <v>0.52500000000000002</v>
      </c>
      <c r="K33" s="8">
        <f>K32</f>
        <v>0</v>
      </c>
      <c r="L33" s="8">
        <f>UsageProfiles[[#This Row],[Mon]]+UsageProfiles[[#This Row],[Tue]]+UsageProfiles[[#This Row],[Wed]]+UsageProfiles[[#This Row],[Thu]]+UsageProfiles[[#This Row],[Fri]]+UsageProfiles[[#This Row],[Sat]]+UsageProfiles[[#This Row],[Sun]]</f>
        <v>3.6749999999999998</v>
      </c>
      <c r="M33" s="8">
        <f>ROUNDUP(UsageProfiles[[#This Row],[Buffer]]*_xlfn.XLOOKUP(UsageProfiles[[#This Row],[Profile]], DemandProfile[Profile], DemandProfile[Multiplier]),0)</f>
        <v>0</v>
      </c>
      <c r="N33" s="8">
        <f>ROUNDUP(UsageProfiles[[#This Row],[Weekly_Usage]]+UsageProfiles[[#This Row],[Adjusted_Buffer]],1)</f>
        <v>3.7</v>
      </c>
    </row>
    <row r="34" spans="1:14" x14ac:dyDescent="0.3">
      <c r="A34" s="7" t="s">
        <v>107</v>
      </c>
      <c r="B34" s="4" t="s">
        <v>75</v>
      </c>
      <c r="C34" s="4">
        <v>0</v>
      </c>
      <c r="D34" s="8">
        <f>D32 * _xlfn.XLOOKUP("High", DemandProfile[Profile], DemandProfile[Multiplier])</f>
        <v>0.57499999999999996</v>
      </c>
      <c r="E34" s="8">
        <f>E32 * _xlfn.XLOOKUP("High", DemandProfile[Profile], DemandProfile[Multiplier])</f>
        <v>0.57499999999999996</v>
      </c>
      <c r="F34" s="8">
        <f>F32 * _xlfn.XLOOKUP("High", DemandProfile[Profile], DemandProfile[Multiplier])</f>
        <v>0.57499999999999996</v>
      </c>
      <c r="G34" s="8">
        <f>G32 * _xlfn.XLOOKUP("High", DemandProfile[Profile], DemandProfile[Multiplier])</f>
        <v>0.57499999999999996</v>
      </c>
      <c r="H34" s="8">
        <f>H32 * _xlfn.XLOOKUP("High", DemandProfile[Profile], DemandProfile[Multiplier])</f>
        <v>0.57499999999999996</v>
      </c>
      <c r="I34" s="8">
        <f>I32 * _xlfn.XLOOKUP("High", DemandProfile[Profile], DemandProfile[Multiplier])</f>
        <v>0.57499999999999996</v>
      </c>
      <c r="J34" s="8">
        <f>J32 * _xlfn.XLOOKUP("High", DemandProfile[Profile], DemandProfile[Multiplier])</f>
        <v>0.57499999999999996</v>
      </c>
      <c r="K34" s="8">
        <f>K32</f>
        <v>0</v>
      </c>
      <c r="L34" s="8">
        <f>UsageProfiles[[#This Row],[Mon]]+UsageProfiles[[#This Row],[Tue]]+UsageProfiles[[#This Row],[Wed]]+UsageProfiles[[#This Row],[Thu]]+UsageProfiles[[#This Row],[Fri]]+UsageProfiles[[#This Row],[Sat]]+UsageProfiles[[#This Row],[Sun]]</f>
        <v>4.0250000000000004</v>
      </c>
      <c r="M34" s="8">
        <f>ROUNDUP(UsageProfiles[[#This Row],[Buffer]]*_xlfn.XLOOKUP(UsageProfiles[[#This Row],[Profile]], DemandProfile[Profile], DemandProfile[Multiplier]),0)</f>
        <v>0</v>
      </c>
      <c r="N34" s="8">
        <f>ROUNDUP(UsageProfiles[[#This Row],[Weekly_Usage]]+UsageProfiles[[#This Row],[Adjusted_Buffer]],1)</f>
        <v>4.0999999999999996</v>
      </c>
    </row>
    <row r="35" spans="1:14" x14ac:dyDescent="0.3">
      <c r="A35" s="7" t="s">
        <v>108</v>
      </c>
      <c r="B35" s="4" t="s">
        <v>73</v>
      </c>
      <c r="C35" s="4">
        <v>500</v>
      </c>
      <c r="D35" s="8">
        <v>1</v>
      </c>
      <c r="E35" s="8">
        <v>1</v>
      </c>
      <c r="F35" s="8">
        <v>1</v>
      </c>
      <c r="G35" s="8">
        <v>2</v>
      </c>
      <c r="H35" s="8">
        <v>2</v>
      </c>
      <c r="I35" s="8">
        <v>2</v>
      </c>
      <c r="J35" s="8">
        <v>2</v>
      </c>
      <c r="K35" s="8">
        <v>1</v>
      </c>
      <c r="L35" s="8">
        <f>UsageProfiles[[#This Row],[Mon]]+UsageProfiles[[#This Row],[Tue]]+UsageProfiles[[#This Row],[Wed]]+UsageProfiles[[#This Row],[Thu]]+UsageProfiles[[#This Row],[Fri]]+UsageProfiles[[#This Row],[Sat]]+UsageProfiles[[#This Row],[Sun]]</f>
        <v>11</v>
      </c>
      <c r="M35" s="8">
        <f>ROUNDUP(UsageProfiles[[#This Row],[Buffer]]*_xlfn.XLOOKUP(UsageProfiles[[#This Row],[Profile]], DemandProfile[Profile], DemandProfile[Multiplier]),0)</f>
        <v>1</v>
      </c>
      <c r="N35" s="8">
        <f>ROUNDUP(UsageProfiles[[#This Row],[Weekly_Usage]]+UsageProfiles[[#This Row],[Adjusted_Buffer]],1)</f>
        <v>12</v>
      </c>
    </row>
    <row r="36" spans="1:14" x14ac:dyDescent="0.3">
      <c r="A36" s="7" t="s">
        <v>108</v>
      </c>
      <c r="B36" s="4" t="s">
        <v>74</v>
      </c>
      <c r="C36" s="4">
        <v>500</v>
      </c>
      <c r="D36" s="8">
        <f>D35 * _xlfn.XLOOKUP("Normal", DemandProfile[Profile], DemandProfile[Multiplier])</f>
        <v>1.05</v>
      </c>
      <c r="E36" s="8">
        <f>E35 * _xlfn.XLOOKUP("Normal", DemandProfile[Profile], DemandProfile[Multiplier])</f>
        <v>1.05</v>
      </c>
      <c r="F36" s="8">
        <f>F35 * _xlfn.XLOOKUP("Normal", DemandProfile[Profile], DemandProfile[Multiplier])</f>
        <v>1.05</v>
      </c>
      <c r="G36" s="8">
        <f>G35 * _xlfn.XLOOKUP("Normal", DemandProfile[Profile], DemandProfile[Multiplier])</f>
        <v>2.1</v>
      </c>
      <c r="H36" s="8">
        <f>H35 * _xlfn.XLOOKUP("Normal", DemandProfile[Profile], DemandProfile[Multiplier])</f>
        <v>2.1</v>
      </c>
      <c r="I36" s="8">
        <f>I35 * _xlfn.XLOOKUP("Normal", DemandProfile[Profile], DemandProfile[Multiplier])</f>
        <v>2.1</v>
      </c>
      <c r="J36" s="8">
        <f>J35 * _xlfn.XLOOKUP("Normal", DemandProfile[Profile], DemandProfile[Multiplier])</f>
        <v>2.1</v>
      </c>
      <c r="K36" s="8">
        <f>K35</f>
        <v>1</v>
      </c>
      <c r="L36" s="8">
        <f>UsageProfiles[[#This Row],[Mon]]+UsageProfiles[[#This Row],[Tue]]+UsageProfiles[[#This Row],[Wed]]+UsageProfiles[[#This Row],[Thu]]+UsageProfiles[[#This Row],[Fri]]+UsageProfiles[[#This Row],[Sat]]+UsageProfiles[[#This Row],[Sun]]</f>
        <v>11.549999999999999</v>
      </c>
      <c r="M36" s="8">
        <f>ROUNDUP(UsageProfiles[[#This Row],[Buffer]]*_xlfn.XLOOKUP(UsageProfiles[[#This Row],[Profile]], DemandProfile[Profile], DemandProfile[Multiplier]),0)</f>
        <v>2</v>
      </c>
      <c r="N36" s="8">
        <f>ROUNDUP(UsageProfiles[[#This Row],[Weekly_Usage]]+UsageProfiles[[#This Row],[Adjusted_Buffer]],1)</f>
        <v>13.6</v>
      </c>
    </row>
    <row r="37" spans="1:14" x14ac:dyDescent="0.3">
      <c r="A37" s="7" t="s">
        <v>108</v>
      </c>
      <c r="B37" s="4" t="s">
        <v>75</v>
      </c>
      <c r="C37" s="4">
        <v>500</v>
      </c>
      <c r="D37" s="8">
        <f>D35 * _xlfn.XLOOKUP("High", DemandProfile[Profile], DemandProfile[Multiplier])</f>
        <v>1.1499999999999999</v>
      </c>
      <c r="E37" s="8">
        <f>E35 * _xlfn.XLOOKUP("High", DemandProfile[Profile], DemandProfile[Multiplier])</f>
        <v>1.1499999999999999</v>
      </c>
      <c r="F37" s="8">
        <f>F35 * _xlfn.XLOOKUP("High", DemandProfile[Profile], DemandProfile[Multiplier])</f>
        <v>1.1499999999999999</v>
      </c>
      <c r="G37" s="8">
        <f>G35 * _xlfn.XLOOKUP("High", DemandProfile[Profile], DemandProfile[Multiplier])</f>
        <v>2.2999999999999998</v>
      </c>
      <c r="H37" s="8">
        <f>H35 * _xlfn.XLOOKUP("High", DemandProfile[Profile], DemandProfile[Multiplier])</f>
        <v>2.2999999999999998</v>
      </c>
      <c r="I37" s="8">
        <f>I35 * _xlfn.XLOOKUP("High", DemandProfile[Profile], DemandProfile[Multiplier])</f>
        <v>2.2999999999999998</v>
      </c>
      <c r="J37" s="8">
        <f>J35 * _xlfn.XLOOKUP("High", DemandProfile[Profile], DemandProfile[Multiplier])</f>
        <v>2.2999999999999998</v>
      </c>
      <c r="K37" s="8">
        <f>K35</f>
        <v>1</v>
      </c>
      <c r="L37" s="8">
        <f>UsageProfiles[[#This Row],[Mon]]+UsageProfiles[[#This Row],[Tue]]+UsageProfiles[[#This Row],[Wed]]+UsageProfiles[[#This Row],[Thu]]+UsageProfiles[[#This Row],[Fri]]+UsageProfiles[[#This Row],[Sat]]+UsageProfiles[[#This Row],[Sun]]</f>
        <v>12.650000000000002</v>
      </c>
      <c r="M37" s="8">
        <f>ROUNDUP(UsageProfiles[[#This Row],[Buffer]]*_xlfn.XLOOKUP(UsageProfiles[[#This Row],[Profile]], DemandProfile[Profile], DemandProfile[Multiplier]),0)</f>
        <v>2</v>
      </c>
      <c r="N37" s="8">
        <f>ROUNDUP(UsageProfiles[[#This Row],[Weekly_Usage]]+UsageProfiles[[#This Row],[Adjusted_Buffer]],1)</f>
        <v>14.7</v>
      </c>
    </row>
    <row r="38" spans="1:14" x14ac:dyDescent="0.3">
      <c r="A38" s="7" t="s">
        <v>109</v>
      </c>
      <c r="B38" s="4" t="s">
        <v>73</v>
      </c>
      <c r="C38" s="4">
        <v>1000</v>
      </c>
      <c r="D38" s="8">
        <v>1</v>
      </c>
      <c r="E38" s="8">
        <v>1</v>
      </c>
      <c r="F38" s="8">
        <v>1</v>
      </c>
      <c r="G38" s="8">
        <v>2</v>
      </c>
      <c r="H38" s="8">
        <v>2</v>
      </c>
      <c r="I38" s="8">
        <v>2</v>
      </c>
      <c r="J38" s="8">
        <v>2</v>
      </c>
      <c r="K38" s="8">
        <v>1</v>
      </c>
      <c r="L38" s="8">
        <f>UsageProfiles[[#This Row],[Mon]]+UsageProfiles[[#This Row],[Tue]]+UsageProfiles[[#This Row],[Wed]]+UsageProfiles[[#This Row],[Thu]]+UsageProfiles[[#This Row],[Fri]]+UsageProfiles[[#This Row],[Sat]]+UsageProfiles[[#This Row],[Sun]]</f>
        <v>11</v>
      </c>
      <c r="M38" s="8">
        <f>ROUNDUP(UsageProfiles[[#This Row],[Buffer]]*_xlfn.XLOOKUP(UsageProfiles[[#This Row],[Profile]], DemandProfile[Profile], DemandProfile[Multiplier]),0)</f>
        <v>1</v>
      </c>
      <c r="N38" s="8">
        <f>ROUNDUP(UsageProfiles[[#This Row],[Weekly_Usage]]+UsageProfiles[[#This Row],[Adjusted_Buffer]],1)</f>
        <v>12</v>
      </c>
    </row>
    <row r="39" spans="1:14" x14ac:dyDescent="0.3">
      <c r="A39" s="7" t="s">
        <v>109</v>
      </c>
      <c r="B39" s="4" t="s">
        <v>74</v>
      </c>
      <c r="C39" s="4">
        <v>1000</v>
      </c>
      <c r="D39" s="8">
        <f>D38 * _xlfn.XLOOKUP("Normal", DemandProfile[Profile], DemandProfile[Multiplier])</f>
        <v>1.05</v>
      </c>
      <c r="E39" s="8">
        <f>E38 * _xlfn.XLOOKUP("Normal", DemandProfile[Profile], DemandProfile[Multiplier])</f>
        <v>1.05</v>
      </c>
      <c r="F39" s="8">
        <f>F38 * _xlfn.XLOOKUP("Normal", DemandProfile[Profile], DemandProfile[Multiplier])</f>
        <v>1.05</v>
      </c>
      <c r="G39" s="8">
        <f>G38 * _xlfn.XLOOKUP("Normal", DemandProfile[Profile], DemandProfile[Multiplier])</f>
        <v>2.1</v>
      </c>
      <c r="H39" s="8">
        <f>H38 * _xlfn.XLOOKUP("Normal", DemandProfile[Profile], DemandProfile[Multiplier])</f>
        <v>2.1</v>
      </c>
      <c r="I39" s="8">
        <f>I38 * _xlfn.XLOOKUP("Normal", DemandProfile[Profile], DemandProfile[Multiplier])</f>
        <v>2.1</v>
      </c>
      <c r="J39" s="8">
        <f>J38 * _xlfn.XLOOKUP("Normal", DemandProfile[Profile], DemandProfile[Multiplier])</f>
        <v>2.1</v>
      </c>
      <c r="K39" s="8">
        <f>K38</f>
        <v>1</v>
      </c>
      <c r="L39" s="8">
        <f>UsageProfiles[[#This Row],[Mon]]+UsageProfiles[[#This Row],[Tue]]+UsageProfiles[[#This Row],[Wed]]+UsageProfiles[[#This Row],[Thu]]+UsageProfiles[[#This Row],[Fri]]+UsageProfiles[[#This Row],[Sat]]+UsageProfiles[[#This Row],[Sun]]</f>
        <v>11.549999999999999</v>
      </c>
      <c r="M39" s="8">
        <f>ROUNDUP(UsageProfiles[[#This Row],[Buffer]]*_xlfn.XLOOKUP(UsageProfiles[[#This Row],[Profile]], DemandProfile[Profile], DemandProfile[Multiplier]),0)</f>
        <v>2</v>
      </c>
      <c r="N39" s="8">
        <f>ROUNDUP(UsageProfiles[[#This Row],[Weekly_Usage]]+UsageProfiles[[#This Row],[Adjusted_Buffer]],1)</f>
        <v>13.6</v>
      </c>
    </row>
    <row r="40" spans="1:14" x14ac:dyDescent="0.3">
      <c r="A40" s="7" t="s">
        <v>109</v>
      </c>
      <c r="B40" s="4" t="s">
        <v>75</v>
      </c>
      <c r="C40" s="4">
        <v>1000</v>
      </c>
      <c r="D40" s="8">
        <f>D38 * _xlfn.XLOOKUP("High", DemandProfile[Profile], DemandProfile[Multiplier])</f>
        <v>1.1499999999999999</v>
      </c>
      <c r="E40" s="8">
        <f>E38 * _xlfn.XLOOKUP("High", DemandProfile[Profile], DemandProfile[Multiplier])</f>
        <v>1.1499999999999999</v>
      </c>
      <c r="F40" s="8">
        <f>F38 * _xlfn.XLOOKUP("High", DemandProfile[Profile], DemandProfile[Multiplier])</f>
        <v>1.1499999999999999</v>
      </c>
      <c r="G40" s="8">
        <f>G38 * _xlfn.XLOOKUP("High", DemandProfile[Profile], DemandProfile[Multiplier])</f>
        <v>2.2999999999999998</v>
      </c>
      <c r="H40" s="8">
        <f>H38 * _xlfn.XLOOKUP("High", DemandProfile[Profile], DemandProfile[Multiplier])</f>
        <v>2.2999999999999998</v>
      </c>
      <c r="I40" s="8">
        <f>I38 * _xlfn.XLOOKUP("High", DemandProfile[Profile], DemandProfile[Multiplier])</f>
        <v>2.2999999999999998</v>
      </c>
      <c r="J40" s="8">
        <f>J38 * _xlfn.XLOOKUP("High", DemandProfile[Profile], DemandProfile[Multiplier])</f>
        <v>2.2999999999999998</v>
      </c>
      <c r="K40" s="8">
        <f>K38</f>
        <v>1</v>
      </c>
      <c r="L40" s="8">
        <f>UsageProfiles[[#This Row],[Mon]]+UsageProfiles[[#This Row],[Tue]]+UsageProfiles[[#This Row],[Wed]]+UsageProfiles[[#This Row],[Thu]]+UsageProfiles[[#This Row],[Fri]]+UsageProfiles[[#This Row],[Sat]]+UsageProfiles[[#This Row],[Sun]]</f>
        <v>12.650000000000002</v>
      </c>
      <c r="M40" s="8">
        <f>ROUNDUP(UsageProfiles[[#This Row],[Buffer]]*_xlfn.XLOOKUP(UsageProfiles[[#This Row],[Profile]], DemandProfile[Profile], DemandProfile[Multiplier]),0)</f>
        <v>2</v>
      </c>
      <c r="N40" s="8">
        <f>ROUNDUP(UsageProfiles[[#This Row],[Weekly_Usage]]+UsageProfiles[[#This Row],[Adjusted_Buffer]],1)</f>
        <v>14.7</v>
      </c>
    </row>
  </sheetData>
  <pageMargins left="0.7" right="0.7" top="0.75" bottom="0.75" header="0.3" footer="0.3"/>
  <pageSetup orientation="portrait" r:id="rId1"/>
  <ignoredErrors>
    <ignoredError sqref="G3:H3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Instructions</vt:lpstr>
      <vt:lpstr>Order_Planner</vt:lpstr>
      <vt:lpstr>Data_Sales</vt:lpstr>
      <vt:lpstr>Setup</vt:lpstr>
      <vt:lpstr>Forecast_Model</vt:lpstr>
      <vt:lpstr>Usage_Rates</vt:lpstr>
      <vt:lpstr>DeliveryDayList</vt:lpstr>
      <vt:lpstr>ProfileList</vt:lpstr>
      <vt:lpstr>Weekday_List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2026-04-30T02:52:40Z</dcterms:created>
  <dcterms:modified xsi:type="dcterms:W3CDTF">2026-04-30T03:44:53Z</dcterms:modified>
  <cp:category/>
  <cp:contentStatus/>
</cp:coreProperties>
</file>